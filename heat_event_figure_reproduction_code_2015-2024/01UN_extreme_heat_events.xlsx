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scf/Documents/交大/项目/mhw/联合国report/"/>
    </mc:Choice>
  </mc:AlternateContent>
  <xr:revisionPtr revIDLastSave="0" documentId="13_ncr:1_{9E8CEF02-BBE2-8C44-8BF1-2670B986228D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EM-DAT Data" sheetId="1" r:id="rId1"/>
    <sheet name="EM-DAT Info" sheetId="2" r:id="rId2"/>
  </sheets>
  <definedNames>
    <definedName name="_xlnm._FilterDatabase" localSheetId="0" hidden="1">'EM-DAT Data'!$A$1:$P$118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6" i="1" l="1"/>
  <c r="G116" i="1"/>
  <c r="G102" i="1"/>
  <c r="H102" i="1"/>
  <c r="H103" i="1"/>
  <c r="G101" i="1"/>
  <c r="H101" i="1"/>
  <c r="H37" i="1"/>
  <c r="G38" i="1"/>
  <c r="H38" i="1"/>
  <c r="G3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103" i="1"/>
</calcChain>
</file>

<file path=xl/sharedStrings.xml><?xml version="1.0" encoding="utf-8"?>
<sst xmlns="http://schemas.openxmlformats.org/spreadsheetml/2006/main" count="730" uniqueCount="185">
  <si>
    <t>Disaster Type</t>
  </si>
  <si>
    <t>Country</t>
  </si>
  <si>
    <t>Subregion</t>
  </si>
  <si>
    <t>Region</t>
  </si>
  <si>
    <t>Location</t>
  </si>
  <si>
    <t>lon_start</t>
  </si>
  <si>
    <t>lon_end</t>
  </si>
  <si>
    <t>lat_start</t>
  </si>
  <si>
    <t>lat_end</t>
  </si>
  <si>
    <t>Start Year</t>
  </si>
  <si>
    <t>Start Month</t>
  </si>
  <si>
    <t>Start Day</t>
  </si>
  <si>
    <t>End Year</t>
  </si>
  <si>
    <t>End Month</t>
  </si>
  <si>
    <t>End Day</t>
  </si>
  <si>
    <t>Heat wave</t>
  </si>
  <si>
    <t>Yugoslavia</t>
  </si>
  <si>
    <t>Southern Europe</t>
  </si>
  <si>
    <t>Europe</t>
  </si>
  <si>
    <t>Belgrade (Serbia)</t>
  </si>
  <si>
    <t>E</t>
  </si>
  <si>
    <t>United States of America</t>
  </si>
  <si>
    <t>Northern America</t>
  </si>
  <si>
    <t>Americas</t>
  </si>
  <si>
    <t>Los Angeles</t>
  </si>
  <si>
    <t>W</t>
  </si>
  <si>
    <t>St Louis, Missouri</t>
  </si>
  <si>
    <t>New York</t>
  </si>
  <si>
    <t>Californie, Arizona, Colorado</t>
  </si>
  <si>
    <t>Missouri, Oklahoma, Ilinois, Wisconsin, Iowa, New-York, Chicago, Washington (Dc)</t>
  </si>
  <si>
    <t>Arizona, Florida, Colorado, Texas, Oklahoma, LA</t>
  </si>
  <si>
    <t>Arizona, Nevada, Oklahoma, Utah, Missouri, Kentucky, Ohio, Mississippi provinces</t>
  </si>
  <si>
    <t>Modesto city (Stanislaus district, California province)</t>
  </si>
  <si>
    <t>New York province</t>
  </si>
  <si>
    <t>New York, Washington, Texas, Ohio, Maine, Iowa, Illinois, Minnesota, Nebraska, Wisconsin, South Dakota provinces</t>
  </si>
  <si>
    <t>District of Columbia, Iowa, Virginia, North Carolina provinces</t>
  </si>
  <si>
    <t>Oregon, Washington, Northern California, Idaho, Western Nevada</t>
  </si>
  <si>
    <t>Texas, Louisiana, Florida, Arizona, New Mexico, Kansas, Oklahoma, and southern California</t>
  </si>
  <si>
    <t>United Kingdom of Great Britain and Northern Ireland</t>
  </si>
  <si>
    <t>Northern Europe</t>
  </si>
  <si>
    <t/>
  </si>
  <si>
    <t>Switzerland</t>
  </si>
  <si>
    <t>Western Europe</t>
  </si>
  <si>
    <t>Sweden</t>
  </si>
  <si>
    <t>Sudan</t>
  </si>
  <si>
    <t>Northern Africa</t>
  </si>
  <si>
    <t>Africa</t>
  </si>
  <si>
    <t>Wadi Halfa district (Northern province)</t>
  </si>
  <si>
    <t>Spain</t>
  </si>
  <si>
    <t>Andalusia</t>
  </si>
  <si>
    <t>Andaloucia province</t>
  </si>
  <si>
    <t>Andalucía, Castilla-La Mancha, Comunidad de Madrid, Comunitat Valenciana, Extremadura, Región de Murcia provinces</t>
  </si>
  <si>
    <t>Cataluña/Catalunya, Comunitat Valenciana provinces</t>
  </si>
  <si>
    <t>Cordoba, Valladolid</t>
  </si>
  <si>
    <t>South Africa</t>
  </si>
  <si>
    <t>Sub-Saharan Africa</t>
  </si>
  <si>
    <t>Ngaka Modiri Molema (North West province)</t>
  </si>
  <si>
    <t>Slovakia</t>
  </si>
  <si>
    <t>Eastern Europe</t>
  </si>
  <si>
    <t>Banska Bystrica, Bratislava, Kosice, Nitra, Presov, Trencin, Trnava, Zilna provinces</t>
  </si>
  <si>
    <t>Serbia</t>
  </si>
  <si>
    <t>Borski, Branicevski, Grad Beograd, Jablanicki, Juzno-backi, Juzno-banatski, Kolubarski, Kosovski, Kosovsko-mitrovatski, Kosovsko-pomoravski, Macvanski, Moravicki, Nisavski, Pcinjski, Pecki, Pirotski, Podunavski, Pomoravski, Prizremski, Rasinski, Raski, Severno-backi, Severno-banatski, Srednje-banatski, Sremski, Sumadijski, Toplicki, Zajecarski, Zapadno-backi, Zlatiborski provinces</t>
  </si>
  <si>
    <t>Saudi Arabia</t>
  </si>
  <si>
    <t>Western Asia</t>
  </si>
  <si>
    <t>Asia</t>
  </si>
  <si>
    <t>Moscou</t>
  </si>
  <si>
    <t>Romania</t>
  </si>
  <si>
    <t>Bucuresti province</t>
  </si>
  <si>
    <t>Republic of Korea</t>
  </si>
  <si>
    <t>Eastern Asia</t>
  </si>
  <si>
    <t>Portugal</t>
  </si>
  <si>
    <t>Aveiro, Beja, Braga, Braganca, Castelo Branco, Coimbra, Evora, Faro, Guadra, Leiria, Lisboa, Portoalegre, Porto, Santarem, Setubal, Viana Do Castelo, Vila Real, Viseu provinces</t>
  </si>
  <si>
    <t>Pakistan</t>
  </si>
  <si>
    <t>Southern Asia</t>
  </si>
  <si>
    <t>Jacobabab, Nawabsma, Hyderabad (Sind province)</t>
  </si>
  <si>
    <t>Karachi</t>
  </si>
  <si>
    <t>N.A. on the source</t>
  </si>
  <si>
    <t>Punjab province</t>
  </si>
  <si>
    <t>Punjab, Sindh, Balochistan provinces</t>
  </si>
  <si>
    <t>Sindh, Punjab provinces</t>
  </si>
  <si>
    <t>Netherlands (Kingdom of the)</t>
  </si>
  <si>
    <t>Drenthe, Flevoland, Friesland, Gelderland, Groninge, Limburg, Noord-brabant, Noord-holland,Overijssel, Utrecht, Zeeland, Zuit-holland provinces</t>
  </si>
  <si>
    <t>Mexico</t>
  </si>
  <si>
    <t>Latin America and the Caribbean</t>
  </si>
  <si>
    <t>North</t>
  </si>
  <si>
    <t>Lithuania</t>
  </si>
  <si>
    <t>Kyrgyzstan</t>
  </si>
  <si>
    <t>Central Asia</t>
  </si>
  <si>
    <t>Osh, Kara-Suu town, Jalalabad city, Kadamjay district in Batken oblast</t>
  </si>
  <si>
    <t>Japan</t>
  </si>
  <si>
    <t>Aiti, Ehime, Gifu, Gunma, Hirosima, Hukui, Hukuoka, Hukusima, Hyoogo, Ibaraki, Isikawa, Kagawa, Kagosima, Kanagawa, Kooti, Kumamoto, Kyooto, Mie, Miyagi, Miyazaki, Nagano, Nagasaki, Nara, Niigata, Okayama, Okinawa, Ooita, Oosaka, Saga, Saitama, Siga, Simane, Sizuoka, Tiba, Tokusima, Tookyoo, Totigi, Tottori, Toyama, Wakayama, Yamagata, Yamaguti, Yamanasi provinces</t>
  </si>
  <si>
    <t>Oosaka province, Tokyo, Saitama</t>
  </si>
  <si>
    <t>Entire country</t>
  </si>
  <si>
    <t>Funabashi (Chiba Prefecture), Isesaki City, Tatebayashi (Gunma Prefecture), Tokyo, Iwate, Yagamata</t>
  </si>
  <si>
    <t>Yamanashi, Kawanehoncho,Shizuoka</t>
  </si>
  <si>
    <t>Kumagaya (Saitama Prefecture)</t>
  </si>
  <si>
    <t>Gunma, Tochigi, Yamanashi, Aichi, Tokyo</t>
  </si>
  <si>
    <t>Italy</t>
  </si>
  <si>
    <t>Calabria</t>
  </si>
  <si>
    <t>Milano, Varese districts (Lombardia province), Torino district (Piemonte province), Firenze district (Toscana province), Lecce district (Puglia province), Genova district (Liguria province)</t>
  </si>
  <si>
    <t>Milano district (Lombardia province), Torino district (Piemonte province), Trieste district (Friuli-venezia Giulia province), Verona district (Veneto province), Messina district (Sicilia province), Roma district (Lazio province), Napoli district (Campania province)</t>
  </si>
  <si>
    <t>India</t>
  </si>
  <si>
    <t>Bihar, Uttar Pradesh states</t>
  </si>
  <si>
    <t>Bihar</t>
  </si>
  <si>
    <t>Bihar, Punjab, Haryana and Jammu, Kashmir, Tamil Nadu, Maharashtra, Orissa, Uttar Pradesh, New Delhi, Rajasthan, Madhya Pradesh</t>
  </si>
  <si>
    <t>Orissa, Andhra Pradesh, Rajasthan, Madhya Pradesh, Uttar Pradesh, Gujarat states</t>
  </si>
  <si>
    <t>Madhya Pradesh, Andhra Pradesh, Uttar Pradesh, Delhi, Rajasthan, Punjab, Haryana, Orissa, West Bengal provinces</t>
  </si>
  <si>
    <t>Andhra Pradesh, Orissa, Tamil Nadu, Vidarbha (=part of Maharashtra), Chhattisgarh, Jharkland, Uttar Pradesh, Rajasthan, Madhya Pradesh, Bihar provinces</t>
  </si>
  <si>
    <t>Orissa, West Bengal, Bihar, Uttar Pradesh, Jharkhand, Andhra Pradesh provinces</t>
  </si>
  <si>
    <t>Adilabad, East Godavari, Guntur, Karimnagar, Khammam, Krishna, Nalgonda, Nizamabad, Prakasam, Vishakhapatnam, Warangal, West Godavari districts (Andhra Pradesh province)</t>
  </si>
  <si>
    <t>Delhi, Andhra Pradesh, Orissa provinces</t>
  </si>
  <si>
    <t>Andhra Pradesh, Rajasthan, Orissa, Bihar, Jharkhand, Tamil Nadu, Uttar Pradesh provinces</t>
  </si>
  <si>
    <t>Andhra Pradesh, Telangana, Maharashtra, Odisha (Orissa)</t>
  </si>
  <si>
    <t>New Delhi; Rajasthan, Bihar, Gujarat, West Rajasthan, Punjab, Haryana, Chandigarh</t>
  </si>
  <si>
    <t>Greece</t>
  </si>
  <si>
    <t>Countrywide</t>
  </si>
  <si>
    <t>Germany</t>
  </si>
  <si>
    <t>Dresden city (Dresden district, Sachsen province), Brombach lake (Mittelfranken district, Bayern province)</t>
  </si>
  <si>
    <t>France</t>
  </si>
  <si>
    <t>Southwestern</t>
  </si>
  <si>
    <t>Alsace, Aquitaine, Auvergne, Basse-Normandie, Bourgogne, Bretagne, Centre, Champagne-Ardenne, Corse, Franche-Compte, Haute-Normandie, Ile-de-France, Languedoc-Rousillon, Limousin, Lorraine, Nord-Pas-de-Calais, Pays-de-la-Loire, Picardie, Poitou-Charentes, Provence-Alpes-Côte-D'azur, Rhône-Alpes, Midi-Pyrénées provinces</t>
  </si>
  <si>
    <t>Vaucluse, Bouches-du-Rhône, Hérault, Gard</t>
  </si>
  <si>
    <t>Toute la France métropolitaine (excepté l'ouest de la Bretagne et la Corse)</t>
  </si>
  <si>
    <t>Egypt</t>
  </si>
  <si>
    <t>Nord</t>
  </si>
  <si>
    <t>Cairo, Qena provinces ; Marsa Matruh district (Matrouh province)</t>
  </si>
  <si>
    <t>Democratic People's Republic of Korea</t>
  </si>
  <si>
    <t>Kumya county (South Hamgyong Province); Sinyang, Songchon counties (South Pyongan province)</t>
  </si>
  <si>
    <t>Czechia</t>
  </si>
  <si>
    <t>Jihocesky, Jihomoravsky, Praha, Severocesky, Severomoravsky, Stredocesky, Vychodocesky, Zapadocesky provinces</t>
  </si>
  <si>
    <t>Cyprus</t>
  </si>
  <si>
    <t>China</t>
  </si>
  <si>
    <t>Beijing</t>
  </si>
  <si>
    <t>Guangzhou city (Guangzhou district, Guangdong Sheng province)</t>
  </si>
  <si>
    <t>Shanghai Shi province</t>
  </si>
  <si>
    <t>Canary Islands</t>
  </si>
  <si>
    <t>Canarias province</t>
  </si>
  <si>
    <t>Canada</t>
  </si>
  <si>
    <t>Gatineau, Montréal, Joliette, Saint-Hyacinthe, Saint-Jean-sur-Richelieu, Drummondville, Sherbrooke ,Outaouais, Laurentides, Lanaudière, Victoriaville Trois-Rivières, Québec, La Malbaie, Kamouraska, l’Abitibi-Témiscamingue, Saguenay—Lac-Saint-Jean (Quebec)</t>
  </si>
  <si>
    <t>British Columbia</t>
  </si>
  <si>
    <t>Bosnia and Herzegovina</t>
  </si>
  <si>
    <t>Stolac, Trebinje, Bileca districts (Republika Srpska), Neum, Citluk, Capljina cities (Neretvljanski, Federacija Bosne I Hercegovine province)</t>
  </si>
  <si>
    <t>Belgium</t>
  </si>
  <si>
    <t>Region de Bruxelles-Capitale/Brussels Hoofdstedelijk Gewes, Region wallonne, Vlaams Gewest provinces</t>
  </si>
  <si>
    <t>Vlaams Gewest, Region de Bruxelles-Capitale / Brussels Hoofdstedelijk Gewes, Region wallonne provinces</t>
  </si>
  <si>
    <t>Bangladesh</t>
  </si>
  <si>
    <t>Dhaka, Khulna, Rajshahi provinces</t>
  </si>
  <si>
    <t>Shyampur, Bangshal, Kotwali (Dhaka), Sutrapur, Kamrangir Char, Chak Bazar, Lalbagh, Gendaria, Paltan, Barisal, Dhaka, Khulna, Rajshahi, Rangpur; Magura district</t>
  </si>
  <si>
    <t>Austria</t>
  </si>
  <si>
    <t>Australia</t>
  </si>
  <si>
    <t>Australia and New Zealand</t>
  </si>
  <si>
    <t>Oceania</t>
  </si>
  <si>
    <t>Victoria, New South wales (South), Tasmania (Northern) provinces</t>
  </si>
  <si>
    <t>Western Australia, Victoria provinces</t>
  </si>
  <si>
    <t>Argentina</t>
  </si>
  <si>
    <t>Buenos Aires</t>
  </si>
  <si>
    <t>Algeria</t>
  </si>
  <si>
    <t>Adrar (province?/district?)</t>
  </si>
  <si>
    <t>Albania</t>
  </si>
  <si>
    <t>Berat, Bulqize, Delvine, Devoll, Diber, Durres, Elbasan, Fier, Gjirokastër, Gramsh, Has, Kavaje, Kolonjë, Korce, Krujë, Kucove, Kukës, Kurbin, Lezhë, Librazhd, Lushnjë, Malesi E Madhe, Mallakaster, Mat, Mirditë, Peqin, Permet, Pogradec, Puke, Sarandë, Shkoder, Skrapar, Tepelenë, Tirane, Tropojë, Vlore provinces</t>
  </si>
  <si>
    <t>Source:</t>
  </si>
  <si>
    <t>EM-DAT, CRED / UCLouvain, Brussels, Belgium</t>
  </si>
  <si>
    <t>https://www.emdat.be</t>
  </si>
  <si>
    <t>Glossary:</t>
  </si>
  <si>
    <t>https://doc.emdat.be/docs/data-structure-and-content/emdat-public-table/</t>
  </si>
  <si>
    <t>Version:</t>
  </si>
  <si>
    <t>2024-12-06</t>
  </si>
  <si>
    <t>File creation:</t>
  </si>
  <si>
    <t>Sat, 14 Dec 2024 08:32:16 UTC</t>
  </si>
  <si>
    <t xml:space="preserve">Table type: </t>
  </si>
  <si>
    <t>public_emdat_custom_request</t>
  </si>
  <si>
    <t># of records:</t>
  </si>
  <si>
    <t>690</t>
  </si>
  <si>
    <t>Russian Federation</t>
    <phoneticPr fontId="4" type="noConversion"/>
  </si>
  <si>
    <t xml:space="preserve">E </t>
    <phoneticPr fontId="4" type="noConversion"/>
  </si>
  <si>
    <t>France</t>
    <phoneticPr fontId="4" type="noConversion"/>
  </si>
  <si>
    <t>E</t>
    <phoneticPr fontId="4" type="noConversion"/>
  </si>
  <si>
    <r>
      <rPr>
        <sz val="11"/>
        <color theme="1"/>
        <rFont val="Microsoft YaHei"/>
        <family val="2"/>
        <charset val="134"/>
      </rPr>
      <t>（</t>
    </r>
    <r>
      <rPr>
        <sz val="11"/>
        <color theme="1"/>
        <rFont val="Calibri"/>
        <family val="2"/>
      </rPr>
      <t>E</t>
    </r>
    <r>
      <rPr>
        <sz val="11"/>
        <color theme="1"/>
        <rFont val="Microsoft YaHei"/>
        <family val="2"/>
        <charset val="134"/>
      </rPr>
      <t>）</t>
    </r>
    <r>
      <rPr>
        <sz val="11"/>
        <color theme="1"/>
        <rFont val="Calibri"/>
        <family val="2"/>
      </rPr>
      <t xml:space="preserve">8.2°W </t>
    </r>
    <r>
      <rPr>
        <sz val="11"/>
        <color theme="1"/>
        <rFont val="Microsoft YaHei"/>
        <family val="2"/>
        <charset val="134"/>
      </rPr>
      <t>至</t>
    </r>
    <r>
      <rPr>
        <sz val="11"/>
        <color theme="1"/>
        <rFont val="Calibri"/>
        <family val="2"/>
      </rPr>
      <t xml:space="preserve"> 1.8°E</t>
    </r>
    <phoneticPr fontId="4" type="noConversion"/>
  </si>
  <si>
    <r>
      <rPr>
        <sz val="11"/>
        <color theme="1"/>
        <rFont val="Microsoft YaHei"/>
        <family val="2"/>
        <charset val="134"/>
      </rPr>
      <t>（</t>
    </r>
    <r>
      <rPr>
        <sz val="11"/>
        <color theme="1"/>
        <rFont val="Calibri"/>
        <family val="2"/>
      </rPr>
      <t xml:space="preserve">E)8.2°W </t>
    </r>
    <r>
      <rPr>
        <sz val="11"/>
        <color theme="1"/>
        <rFont val="Microsoft YaHei"/>
        <family val="2"/>
        <charset val="134"/>
      </rPr>
      <t>至</t>
    </r>
    <r>
      <rPr>
        <sz val="11"/>
        <color theme="1"/>
        <rFont val="Calibri"/>
        <family val="2"/>
      </rPr>
      <t xml:space="preserve"> 1.8°E</t>
    </r>
    <phoneticPr fontId="4" type="noConversion"/>
  </si>
  <si>
    <r>
      <t>(E</t>
    </r>
    <r>
      <rPr>
        <sz val="11"/>
        <color theme="1"/>
        <rFont val="Microsoft YaHei"/>
        <family val="2"/>
        <charset val="134"/>
      </rPr>
      <t>）</t>
    </r>
    <r>
      <rPr>
        <sz val="11"/>
        <color theme="1"/>
        <rFont val="Calibri"/>
        <family val="2"/>
      </rPr>
      <t xml:space="preserve">9.3°W </t>
    </r>
    <r>
      <rPr>
        <sz val="11"/>
        <color theme="1"/>
        <rFont val="Microsoft YaHei"/>
        <family val="2"/>
        <charset val="134"/>
      </rPr>
      <t>至</t>
    </r>
    <r>
      <rPr>
        <sz val="11"/>
        <color theme="1"/>
        <rFont val="Calibri"/>
        <family val="2"/>
      </rPr>
      <t xml:space="preserve"> 3.5°E</t>
    </r>
    <phoneticPr fontId="4" type="noConversion"/>
  </si>
  <si>
    <r>
      <t>(E</t>
    </r>
    <r>
      <rPr>
        <sz val="11"/>
        <color theme="1"/>
        <rFont val="Microsoft YaHei"/>
        <family val="2"/>
        <charset val="134"/>
      </rPr>
      <t>）</t>
    </r>
    <r>
      <rPr>
        <sz val="11"/>
        <color theme="1"/>
        <rFont val="Calibri"/>
        <family val="2"/>
      </rPr>
      <t xml:space="preserve">9.3°W </t>
    </r>
    <r>
      <rPr>
        <sz val="11"/>
        <color theme="1"/>
        <rFont val="Microsoft YaHei"/>
        <family val="2"/>
        <charset val="134"/>
      </rPr>
      <t>至</t>
    </r>
    <r>
      <rPr>
        <sz val="11"/>
        <color theme="1"/>
        <rFont val="Calibri"/>
        <family val="2"/>
      </rPr>
      <t xml:space="preserve"> 3.6°E</t>
    </r>
    <r>
      <rPr>
        <sz val="12"/>
        <color theme="1"/>
        <rFont val="等线"/>
        <family val="2"/>
        <charset val="134"/>
        <scheme val="minor"/>
      </rPr>
      <t/>
    </r>
  </si>
  <si>
    <r>
      <t>(E</t>
    </r>
    <r>
      <rPr>
        <sz val="11"/>
        <color theme="1"/>
        <rFont val="Microsoft YaHei"/>
        <family val="2"/>
        <charset val="134"/>
      </rPr>
      <t>）</t>
    </r>
    <r>
      <rPr>
        <sz val="11"/>
        <color theme="1"/>
        <rFont val="Calibri"/>
        <family val="2"/>
      </rPr>
      <t xml:space="preserve">9.3°W </t>
    </r>
    <r>
      <rPr>
        <sz val="11"/>
        <color theme="1"/>
        <rFont val="Microsoft YaHei"/>
        <family val="2"/>
        <charset val="134"/>
      </rPr>
      <t>至</t>
    </r>
    <r>
      <rPr>
        <sz val="11"/>
        <color theme="1"/>
        <rFont val="Calibri"/>
        <family val="2"/>
      </rPr>
      <t xml:space="preserve"> 3.7°E</t>
    </r>
    <r>
      <rPr>
        <sz val="12"/>
        <color theme="1"/>
        <rFont val="等线"/>
        <family val="2"/>
        <charset val="134"/>
        <scheme val="minor"/>
      </rPr>
      <t/>
    </r>
  </si>
  <si>
    <r>
      <t>(E</t>
    </r>
    <r>
      <rPr>
        <sz val="11"/>
        <color theme="1"/>
        <rFont val="Microsoft YaHei"/>
        <family val="2"/>
        <charset val="134"/>
      </rPr>
      <t>）</t>
    </r>
    <r>
      <rPr>
        <sz val="11"/>
        <color theme="1"/>
        <rFont val="Calibri"/>
        <family val="2"/>
      </rPr>
      <t xml:space="preserve">9.3°W </t>
    </r>
    <r>
      <rPr>
        <sz val="11"/>
        <color theme="1"/>
        <rFont val="Microsoft YaHei"/>
        <family val="2"/>
        <charset val="134"/>
      </rPr>
      <t>至</t>
    </r>
    <r>
      <rPr>
        <sz val="11"/>
        <color theme="1"/>
        <rFont val="Calibri"/>
        <family val="2"/>
      </rPr>
      <t xml:space="preserve"> 3.8°E</t>
    </r>
    <r>
      <rPr>
        <sz val="12"/>
        <color theme="1"/>
        <rFont val="等线"/>
        <family val="2"/>
        <charset val="134"/>
        <scheme val="minor"/>
      </rPr>
      <t/>
    </r>
  </si>
  <si>
    <r>
      <t>(E</t>
    </r>
    <r>
      <rPr>
        <sz val="11"/>
        <color theme="1"/>
        <rFont val="Microsoft YaHei"/>
        <family val="2"/>
        <charset val="134"/>
      </rPr>
      <t>）</t>
    </r>
    <r>
      <rPr>
        <sz val="11"/>
        <color theme="1"/>
        <rFont val="Calibri"/>
        <family val="2"/>
      </rPr>
      <t xml:space="preserve">9.3°W </t>
    </r>
    <r>
      <rPr>
        <sz val="11"/>
        <color theme="1"/>
        <rFont val="Microsoft YaHei"/>
        <family val="2"/>
        <charset val="134"/>
      </rPr>
      <t>至</t>
    </r>
    <r>
      <rPr>
        <sz val="11"/>
        <color theme="1"/>
        <rFont val="Calibri"/>
        <family val="2"/>
      </rPr>
      <t xml:space="preserve"> 3.9°E</t>
    </r>
    <r>
      <rPr>
        <sz val="12"/>
        <color theme="1"/>
        <rFont val="等线"/>
        <family val="2"/>
        <charset val="134"/>
        <scheme val="minor"/>
      </rPr>
      <t/>
    </r>
  </si>
  <si>
    <t>United States of America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</si>
</sst>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>
    <font>
      <sz val="11"/>
      <color theme="1"/>
      <name val="Calibri"/>
      <charset val="134"/>
    </font>
    <font>
      <sz val="12"/>
      <color theme="1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34"/>
    </font>
    <font>
      <sz val="9"/>
      <name val="Calibri"/>
      <family val="2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0" fontId="2" fillId="0" borderId="0" xfId="0" applyFont="1"/>
    <xf numFmtId="0" fontId="3" fillId="0" borderId="0" xfId="0" applyFont="1"/>
    <xf numFmtId="176" fontId="2" fillId="0" borderId="0" xfId="0" applyNumberFormat="1" applyFont="1"/>
    <xf numFmtId="0" fontId="0" fillId="0" borderId="0" xfId="0" applyFill="1"/>
    <xf numFmtId="0" fontId="2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8"/>
  <sheetViews>
    <sheetView tabSelected="1" zoomScale="88" workbookViewId="0">
      <selection activeCell="B84" sqref="B84:B90"/>
    </sheetView>
  </sheetViews>
  <sheetFormatPr baseColWidth="10" defaultColWidth="8.83203125" defaultRowHeight="15"/>
  <cols>
    <col min="1" max="1" width="20.6640625" customWidth="1"/>
    <col min="2" max="2" width="20" customWidth="1"/>
    <col min="3" max="3" width="21.6640625" hidden="1" customWidth="1"/>
    <col min="4" max="4" width="16.6640625" hidden="1" customWidth="1"/>
    <col min="5" max="5" width="39.6640625" hidden="1" customWidth="1"/>
    <col min="6" max="6" width="7.1640625" customWidth="1"/>
    <col min="7" max="8" width="17.33203125" customWidth="1"/>
    <col min="9" max="9" width="13.5" customWidth="1"/>
    <col min="10" max="10" width="12.6640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8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v>18</v>
      </c>
      <c r="H2" s="1">
        <v>21</v>
      </c>
      <c r="I2" s="1">
        <v>41</v>
      </c>
      <c r="J2" s="1">
        <v>46</v>
      </c>
      <c r="K2">
        <v>1988</v>
      </c>
      <c r="L2">
        <v>7</v>
      </c>
      <c r="M2">
        <v>11</v>
      </c>
      <c r="N2">
        <v>1988</v>
      </c>
      <c r="O2">
        <v>7</v>
      </c>
      <c r="P2">
        <v>11</v>
      </c>
    </row>
    <row r="3" spans="1:18">
      <c r="A3" t="s">
        <v>15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1">
        <f>360-125.001</f>
        <v>234.999</v>
      </c>
      <c r="H3" s="4">
        <f>360-66.93</f>
        <v>293.07</v>
      </c>
      <c r="I3" s="1">
        <v>24.396308000000001</v>
      </c>
      <c r="J3" s="1">
        <v>49.384357999999999</v>
      </c>
      <c r="K3">
        <v>1955</v>
      </c>
      <c r="L3">
        <v>8</v>
      </c>
      <c r="M3">
        <v>30</v>
      </c>
      <c r="N3">
        <v>1955</v>
      </c>
      <c r="O3">
        <v>9</v>
      </c>
      <c r="P3">
        <v>7</v>
      </c>
    </row>
    <row r="4" spans="1:18">
      <c r="A4" t="s">
        <v>15</v>
      </c>
      <c r="B4" t="s">
        <v>21</v>
      </c>
      <c r="C4" t="s">
        <v>22</v>
      </c>
      <c r="D4" t="s">
        <v>23</v>
      </c>
      <c r="E4" t="s">
        <v>26</v>
      </c>
      <c r="F4" t="s">
        <v>25</v>
      </c>
      <c r="G4" s="1">
        <f t="shared" ref="G4:G16" si="0">360-125.001</f>
        <v>234.999</v>
      </c>
      <c r="H4" s="4">
        <f t="shared" ref="H4:H16" si="1">360-66.93</f>
        <v>293.07</v>
      </c>
      <c r="I4" s="1">
        <v>24.396308000000001</v>
      </c>
      <c r="J4" s="1">
        <v>49.384357999999999</v>
      </c>
      <c r="K4">
        <v>1966</v>
      </c>
      <c r="L4">
        <v>7</v>
      </c>
      <c r="M4">
        <v>9</v>
      </c>
      <c r="N4">
        <v>1966</v>
      </c>
      <c r="O4">
        <v>7</v>
      </c>
      <c r="P4">
        <v>9</v>
      </c>
    </row>
    <row r="5" spans="1:18">
      <c r="A5" t="s">
        <v>15</v>
      </c>
      <c r="B5" s="2" t="s">
        <v>184</v>
      </c>
      <c r="C5" t="s">
        <v>22</v>
      </c>
      <c r="D5" t="s">
        <v>23</v>
      </c>
      <c r="E5" t="s">
        <v>27</v>
      </c>
      <c r="F5" t="s">
        <v>25</v>
      </c>
      <c r="G5" s="1">
        <f t="shared" si="0"/>
        <v>234.999</v>
      </c>
      <c r="H5" s="4">
        <f t="shared" si="1"/>
        <v>293.07</v>
      </c>
      <c r="I5" s="1">
        <v>24.396308000000001</v>
      </c>
      <c r="J5" s="1">
        <v>49.384357999999999</v>
      </c>
      <c r="K5">
        <v>1972</v>
      </c>
      <c r="L5">
        <v>7</v>
      </c>
      <c r="M5">
        <v>22</v>
      </c>
      <c r="N5">
        <v>1972</v>
      </c>
      <c r="O5">
        <v>7</v>
      </c>
      <c r="P5">
        <v>22</v>
      </c>
    </row>
    <row r="6" spans="1:18">
      <c r="A6" t="s">
        <v>15</v>
      </c>
      <c r="B6" t="s">
        <v>21</v>
      </c>
      <c r="C6" t="s">
        <v>22</v>
      </c>
      <c r="D6" t="s">
        <v>23</v>
      </c>
      <c r="E6" t="s">
        <v>27</v>
      </c>
      <c r="F6" t="s">
        <v>25</v>
      </c>
      <c r="G6" s="1">
        <f t="shared" si="0"/>
        <v>234.999</v>
      </c>
      <c r="H6" s="4">
        <f t="shared" si="1"/>
        <v>293.07</v>
      </c>
      <c r="I6" s="1">
        <v>24.396308000000001</v>
      </c>
      <c r="J6" s="1">
        <v>49.384357999999999</v>
      </c>
      <c r="K6">
        <v>1973</v>
      </c>
      <c r="L6">
        <v>8</v>
      </c>
      <c r="M6">
        <v>31</v>
      </c>
      <c r="N6">
        <v>1973</v>
      </c>
      <c r="O6">
        <v>8</v>
      </c>
      <c r="P6">
        <v>31</v>
      </c>
    </row>
    <row r="7" spans="1:18">
      <c r="A7" t="s">
        <v>15</v>
      </c>
      <c r="B7" t="s">
        <v>21</v>
      </c>
      <c r="C7" t="s">
        <v>22</v>
      </c>
      <c r="D7" t="s">
        <v>23</v>
      </c>
      <c r="E7" t="s">
        <v>28</v>
      </c>
      <c r="F7" t="s">
        <v>25</v>
      </c>
      <c r="G7" s="1">
        <f t="shared" si="0"/>
        <v>234.999</v>
      </c>
      <c r="H7" s="4">
        <f t="shared" si="1"/>
        <v>293.07</v>
      </c>
      <c r="I7" s="1">
        <v>24.396308000000001</v>
      </c>
      <c r="J7" s="1">
        <v>49.384357999999999</v>
      </c>
      <c r="K7">
        <v>1990</v>
      </c>
      <c r="L7">
        <v>6</v>
      </c>
      <c r="M7">
        <v>25</v>
      </c>
      <c r="N7">
        <v>1990</v>
      </c>
      <c r="O7">
        <v>6</v>
      </c>
      <c r="P7">
        <v>25</v>
      </c>
      <c r="R7" s="4"/>
    </row>
    <row r="8" spans="1:18">
      <c r="A8" t="s">
        <v>15</v>
      </c>
      <c r="B8" t="s">
        <v>21</v>
      </c>
      <c r="C8" t="s">
        <v>22</v>
      </c>
      <c r="D8" t="s">
        <v>23</v>
      </c>
      <c r="E8" t="s">
        <v>29</v>
      </c>
      <c r="F8" t="s">
        <v>25</v>
      </c>
      <c r="G8" s="1">
        <f t="shared" si="0"/>
        <v>234.999</v>
      </c>
      <c r="H8" s="4">
        <f t="shared" si="1"/>
        <v>293.07</v>
      </c>
      <c r="I8" s="1">
        <v>24.396308000000001</v>
      </c>
      <c r="J8" s="1">
        <v>49.384357999999999</v>
      </c>
      <c r="K8">
        <v>1995</v>
      </c>
      <c r="L8">
        <v>7</v>
      </c>
      <c r="M8">
        <v>14</v>
      </c>
      <c r="N8">
        <v>1995</v>
      </c>
      <c r="O8">
        <v>7</v>
      </c>
      <c r="P8">
        <v>14</v>
      </c>
      <c r="R8" s="4"/>
    </row>
    <row r="9" spans="1:18">
      <c r="A9" t="s">
        <v>15</v>
      </c>
      <c r="B9" t="s">
        <v>21</v>
      </c>
      <c r="C9" t="s">
        <v>22</v>
      </c>
      <c r="D9" t="s">
        <v>23</v>
      </c>
      <c r="E9" t="s">
        <v>30</v>
      </c>
      <c r="F9" t="s">
        <v>25</v>
      </c>
      <c r="G9" s="1">
        <f t="shared" si="0"/>
        <v>234.999</v>
      </c>
      <c r="H9" s="4">
        <f t="shared" si="1"/>
        <v>293.07</v>
      </c>
      <c r="I9" s="1">
        <v>24.396308000000001</v>
      </c>
      <c r="J9" s="1">
        <v>49.384357999999999</v>
      </c>
      <c r="K9">
        <v>1998</v>
      </c>
      <c r="L9">
        <v>5</v>
      </c>
      <c r="M9">
        <v>1</v>
      </c>
      <c r="N9">
        <v>1998</v>
      </c>
      <c r="O9">
        <v>7</v>
      </c>
      <c r="P9">
        <v>20</v>
      </c>
      <c r="R9" s="4"/>
    </row>
    <row r="10" spans="1:18">
      <c r="A10" t="s">
        <v>15</v>
      </c>
      <c r="B10" t="s">
        <v>21</v>
      </c>
      <c r="C10" t="s">
        <v>22</v>
      </c>
      <c r="D10" t="s">
        <v>23</v>
      </c>
      <c r="E10" t="s">
        <v>31</v>
      </c>
      <c r="F10" t="s">
        <v>25</v>
      </c>
      <c r="G10" s="1">
        <f t="shared" si="0"/>
        <v>234.999</v>
      </c>
      <c r="H10" s="4">
        <f t="shared" si="1"/>
        <v>293.07</v>
      </c>
      <c r="I10" s="1">
        <v>24.396308000000001</v>
      </c>
      <c r="J10" s="1">
        <v>49.384357999999999</v>
      </c>
      <c r="K10">
        <v>2005</v>
      </c>
      <c r="L10">
        <v>7</v>
      </c>
      <c r="M10">
        <v>4</v>
      </c>
      <c r="N10">
        <v>2005</v>
      </c>
      <c r="O10">
        <v>7</v>
      </c>
      <c r="P10">
        <v>30</v>
      </c>
      <c r="R10" s="4"/>
    </row>
    <row r="11" spans="1:18">
      <c r="A11" t="s">
        <v>15</v>
      </c>
      <c r="B11" t="s">
        <v>21</v>
      </c>
      <c r="C11" t="s">
        <v>22</v>
      </c>
      <c r="D11" t="s">
        <v>23</v>
      </c>
      <c r="E11" t="s">
        <v>32</v>
      </c>
      <c r="F11" t="s">
        <v>25</v>
      </c>
      <c r="G11" s="1">
        <f t="shared" si="0"/>
        <v>234.999</v>
      </c>
      <c r="H11" s="4">
        <f t="shared" si="1"/>
        <v>293.07</v>
      </c>
      <c r="I11" s="1">
        <v>24.396308000000001</v>
      </c>
      <c r="J11" s="1">
        <v>49.384357999999999</v>
      </c>
      <c r="K11">
        <v>2006</v>
      </c>
      <c r="L11">
        <v>7</v>
      </c>
      <c r="M11">
        <v>14</v>
      </c>
      <c r="N11">
        <v>2006</v>
      </c>
      <c r="O11">
        <v>8</v>
      </c>
      <c r="P11">
        <v>15</v>
      </c>
      <c r="R11" s="4"/>
    </row>
    <row r="12" spans="1:18">
      <c r="A12" t="s">
        <v>15</v>
      </c>
      <c r="B12" t="s">
        <v>21</v>
      </c>
      <c r="C12" t="s">
        <v>22</v>
      </c>
      <c r="D12" t="s">
        <v>23</v>
      </c>
      <c r="E12" t="s">
        <v>33</v>
      </c>
      <c r="F12" t="s">
        <v>25</v>
      </c>
      <c r="G12" s="1">
        <f t="shared" si="0"/>
        <v>234.999</v>
      </c>
      <c r="H12" s="4">
        <f t="shared" si="1"/>
        <v>293.07</v>
      </c>
      <c r="I12" s="1">
        <v>24.396308000000001</v>
      </c>
      <c r="J12" s="1">
        <v>49.384357999999999</v>
      </c>
      <c r="K12">
        <v>2006</v>
      </c>
      <c r="L12">
        <v>7</v>
      </c>
      <c r="M12">
        <v>30</v>
      </c>
      <c r="N12">
        <v>2006</v>
      </c>
      <c r="O12">
        <v>8</v>
      </c>
      <c r="P12">
        <v>6</v>
      </c>
      <c r="R12" s="4"/>
    </row>
    <row r="13" spans="1:18">
      <c r="A13" t="s">
        <v>15</v>
      </c>
      <c r="B13" t="s">
        <v>21</v>
      </c>
      <c r="C13" t="s">
        <v>22</v>
      </c>
      <c r="D13" t="s">
        <v>23</v>
      </c>
      <c r="E13" t="s">
        <v>34</v>
      </c>
      <c r="F13" t="s">
        <v>25</v>
      </c>
      <c r="G13" s="1">
        <f t="shared" si="0"/>
        <v>234.999</v>
      </c>
      <c r="H13" s="4">
        <f t="shared" si="1"/>
        <v>293.07</v>
      </c>
      <c r="I13" s="1">
        <v>24.396308000000001</v>
      </c>
      <c r="J13" s="1">
        <v>49.384357999999999</v>
      </c>
      <c r="K13">
        <v>2011</v>
      </c>
      <c r="L13">
        <v>7</v>
      </c>
      <c r="M13">
        <v>19</v>
      </c>
      <c r="N13">
        <v>2011</v>
      </c>
      <c r="O13">
        <v>7</v>
      </c>
      <c r="P13">
        <v>22</v>
      </c>
      <c r="R13" s="4"/>
    </row>
    <row r="14" spans="1:18">
      <c r="A14" t="s">
        <v>15</v>
      </c>
      <c r="B14" t="s">
        <v>21</v>
      </c>
      <c r="C14" t="s">
        <v>22</v>
      </c>
      <c r="D14" t="s">
        <v>23</v>
      </c>
      <c r="E14" t="s">
        <v>35</v>
      </c>
      <c r="F14" t="s">
        <v>25</v>
      </c>
      <c r="G14" s="1">
        <f t="shared" si="0"/>
        <v>234.999</v>
      </c>
      <c r="H14" s="4">
        <f t="shared" si="1"/>
        <v>293.07</v>
      </c>
      <c r="I14" s="1">
        <v>24.396308000000001</v>
      </c>
      <c r="J14" s="1">
        <v>49.384357999999999</v>
      </c>
      <c r="K14">
        <v>2012</v>
      </c>
      <c r="L14">
        <v>6</v>
      </c>
      <c r="M14">
        <v>30</v>
      </c>
      <c r="N14">
        <v>2012</v>
      </c>
      <c r="O14">
        <v>7</v>
      </c>
      <c r="P14">
        <v>19</v>
      </c>
      <c r="R14" s="4"/>
    </row>
    <row r="15" spans="1:18">
      <c r="A15" t="s">
        <v>15</v>
      </c>
      <c r="B15" t="s">
        <v>21</v>
      </c>
      <c r="C15" t="s">
        <v>22</v>
      </c>
      <c r="D15" t="s">
        <v>23</v>
      </c>
      <c r="E15" t="s">
        <v>36</v>
      </c>
      <c r="F15" t="s">
        <v>25</v>
      </c>
      <c r="G15" s="1">
        <f t="shared" si="0"/>
        <v>234.999</v>
      </c>
      <c r="H15" s="4">
        <f t="shared" si="1"/>
        <v>293.07</v>
      </c>
      <c r="I15" s="1">
        <v>24.396308000000001</v>
      </c>
      <c r="J15" s="1">
        <v>49.384357999999999</v>
      </c>
      <c r="K15">
        <v>2021</v>
      </c>
      <c r="L15">
        <v>6</v>
      </c>
      <c r="M15">
        <v>26</v>
      </c>
      <c r="N15">
        <v>2021</v>
      </c>
      <c r="O15">
        <v>6</v>
      </c>
      <c r="P15">
        <v>30</v>
      </c>
      <c r="R15" s="4"/>
    </row>
    <row r="16" spans="1:18">
      <c r="A16" t="s">
        <v>15</v>
      </c>
      <c r="B16" t="s">
        <v>21</v>
      </c>
      <c r="C16" t="s">
        <v>22</v>
      </c>
      <c r="D16" t="s">
        <v>23</v>
      </c>
      <c r="E16" t="s">
        <v>37</v>
      </c>
      <c r="F16" t="s">
        <v>25</v>
      </c>
      <c r="G16" s="1">
        <f t="shared" si="0"/>
        <v>234.999</v>
      </c>
      <c r="H16" s="4">
        <f t="shared" si="1"/>
        <v>293.07</v>
      </c>
      <c r="I16" s="1">
        <v>24.396308000000001</v>
      </c>
      <c r="J16" s="1">
        <v>49.384357999999999</v>
      </c>
      <c r="K16">
        <v>2023</v>
      </c>
      <c r="L16">
        <v>6</v>
      </c>
      <c r="M16">
        <v>29</v>
      </c>
      <c r="N16">
        <v>2023</v>
      </c>
      <c r="O16">
        <v>7</v>
      </c>
      <c r="P16">
        <v>30</v>
      </c>
      <c r="R16" s="4"/>
    </row>
    <row r="17" spans="1:18" ht="17">
      <c r="A17" t="s">
        <v>15</v>
      </c>
      <c r="B17" s="5" t="s">
        <v>38</v>
      </c>
      <c r="C17" t="s">
        <v>39</v>
      </c>
      <c r="D17" t="s">
        <v>18</v>
      </c>
      <c r="E17" t="s">
        <v>40</v>
      </c>
      <c r="F17" s="3" t="s">
        <v>177</v>
      </c>
      <c r="G17" s="1">
        <v>351.8</v>
      </c>
      <c r="H17" s="1">
        <v>360</v>
      </c>
      <c r="I17" s="1">
        <v>49.9</v>
      </c>
      <c r="J17" s="1">
        <v>58.6</v>
      </c>
      <c r="K17">
        <v>2018</v>
      </c>
      <c r="L17">
        <v>6</v>
      </c>
      <c r="M17">
        <v>30</v>
      </c>
      <c r="N17">
        <v>2018</v>
      </c>
      <c r="O17">
        <v>7</v>
      </c>
      <c r="P17">
        <v>10</v>
      </c>
      <c r="R17" s="4"/>
    </row>
    <row r="18" spans="1:18" ht="17">
      <c r="A18" t="s">
        <v>15</v>
      </c>
      <c r="B18" s="5" t="s">
        <v>38</v>
      </c>
      <c r="C18" t="s">
        <v>39</v>
      </c>
      <c r="D18" t="s">
        <v>18</v>
      </c>
      <c r="E18" t="s">
        <v>40</v>
      </c>
      <c r="F18" s="3" t="s">
        <v>178</v>
      </c>
      <c r="G18" s="1">
        <v>351.8</v>
      </c>
      <c r="H18" s="1">
        <v>360</v>
      </c>
      <c r="I18" s="1">
        <v>49.9</v>
      </c>
      <c r="J18" s="1">
        <v>58.6</v>
      </c>
      <c r="K18">
        <v>2019</v>
      </c>
      <c r="L18">
        <v>7</v>
      </c>
      <c r="M18">
        <v>21</v>
      </c>
      <c r="N18">
        <v>2019</v>
      </c>
      <c r="O18">
        <v>8</v>
      </c>
      <c r="P18">
        <v>28</v>
      </c>
      <c r="R18" s="4"/>
    </row>
    <row r="19" spans="1:18">
      <c r="A19" t="s">
        <v>15</v>
      </c>
      <c r="B19" t="s">
        <v>41</v>
      </c>
      <c r="C19" t="s">
        <v>42</v>
      </c>
      <c r="D19" t="s">
        <v>18</v>
      </c>
      <c r="E19" t="s">
        <v>40</v>
      </c>
      <c r="F19" t="s">
        <v>20</v>
      </c>
      <c r="G19" s="1">
        <v>5.9550000000000001</v>
      </c>
      <c r="H19" s="1">
        <v>10.492000000000001</v>
      </c>
      <c r="I19" s="1">
        <v>45.814999999999998</v>
      </c>
      <c r="J19" s="1">
        <v>47.808</v>
      </c>
      <c r="K19">
        <v>2022</v>
      </c>
      <c r="L19">
        <v>5</v>
      </c>
      <c r="M19">
        <v>30</v>
      </c>
      <c r="N19">
        <v>2022</v>
      </c>
      <c r="O19">
        <v>9</v>
      </c>
      <c r="P19">
        <v>4</v>
      </c>
      <c r="R19" s="4"/>
    </row>
    <row r="20" spans="1:18">
      <c r="A20" t="s">
        <v>15</v>
      </c>
      <c r="B20" t="s">
        <v>43</v>
      </c>
      <c r="C20" t="s">
        <v>39</v>
      </c>
      <c r="D20" t="s">
        <v>18</v>
      </c>
      <c r="E20" t="s">
        <v>40</v>
      </c>
      <c r="F20" t="s">
        <v>20</v>
      </c>
      <c r="G20" s="1">
        <v>11.002000000000001</v>
      </c>
      <c r="H20" s="1">
        <v>24.163</v>
      </c>
      <c r="I20" s="1">
        <v>55.342300000000002</v>
      </c>
      <c r="J20" s="1">
        <v>69.106499999999997</v>
      </c>
      <c r="K20">
        <v>2023</v>
      </c>
      <c r="L20">
        <v>7</v>
      </c>
      <c r="M20">
        <v>11</v>
      </c>
      <c r="N20">
        <v>2023</v>
      </c>
      <c r="O20">
        <v>8</v>
      </c>
      <c r="P20">
        <v>15</v>
      </c>
      <c r="R20" s="4"/>
    </row>
    <row r="21" spans="1:18">
      <c r="A21" t="s">
        <v>15</v>
      </c>
      <c r="B21" t="s">
        <v>44</v>
      </c>
      <c r="C21" t="s">
        <v>45</v>
      </c>
      <c r="D21" t="s">
        <v>46</v>
      </c>
      <c r="E21" t="s">
        <v>47</v>
      </c>
      <c r="F21" t="s">
        <v>20</v>
      </c>
      <c r="G21" s="1">
        <v>22</v>
      </c>
      <c r="H21" s="1">
        <v>38</v>
      </c>
      <c r="I21" s="1">
        <v>8</v>
      </c>
      <c r="J21" s="1">
        <v>22</v>
      </c>
      <c r="K21">
        <v>2015</v>
      </c>
      <c r="L21">
        <v>8</v>
      </c>
      <c r="M21">
        <v>13</v>
      </c>
      <c r="N21">
        <v>2015</v>
      </c>
      <c r="O21">
        <v>8</v>
      </c>
      <c r="P21">
        <v>15</v>
      </c>
    </row>
    <row r="22" spans="1:18" ht="17">
      <c r="A22" t="s">
        <v>15</v>
      </c>
      <c r="B22" s="5" t="s">
        <v>48</v>
      </c>
      <c r="C22" t="s">
        <v>17</v>
      </c>
      <c r="D22" t="s">
        <v>18</v>
      </c>
      <c r="E22" t="s">
        <v>49</v>
      </c>
      <c r="F22" s="2" t="s">
        <v>179</v>
      </c>
      <c r="G22" s="1">
        <v>350.7</v>
      </c>
      <c r="H22" s="1">
        <v>360</v>
      </c>
      <c r="I22" s="1">
        <v>36</v>
      </c>
      <c r="J22" s="1">
        <v>43.8</v>
      </c>
      <c r="K22">
        <v>1995</v>
      </c>
      <c r="L22">
        <v>7</v>
      </c>
      <c r="M22">
        <v>25</v>
      </c>
      <c r="N22">
        <v>1995</v>
      </c>
      <c r="O22">
        <v>7</v>
      </c>
      <c r="P22">
        <v>25</v>
      </c>
    </row>
    <row r="23" spans="1:18" ht="17">
      <c r="A23" t="s">
        <v>15</v>
      </c>
      <c r="B23" s="5" t="s">
        <v>48</v>
      </c>
      <c r="C23" t="s">
        <v>17</v>
      </c>
      <c r="D23" t="s">
        <v>18</v>
      </c>
      <c r="E23" t="s">
        <v>50</v>
      </c>
      <c r="F23" s="2" t="s">
        <v>180</v>
      </c>
      <c r="G23" s="1">
        <v>350.7</v>
      </c>
      <c r="H23" s="1">
        <v>360</v>
      </c>
      <c r="I23" s="1">
        <v>36</v>
      </c>
      <c r="J23" s="1">
        <v>43.8</v>
      </c>
      <c r="K23">
        <v>2003</v>
      </c>
      <c r="L23">
        <v>8</v>
      </c>
      <c r="M23">
        <v>1</v>
      </c>
      <c r="N23">
        <v>2003</v>
      </c>
      <c r="O23">
        <v>8</v>
      </c>
      <c r="P23">
        <v>11</v>
      </c>
    </row>
    <row r="24" spans="1:18" ht="17">
      <c r="A24" t="s">
        <v>15</v>
      </c>
      <c r="B24" s="5" t="s">
        <v>48</v>
      </c>
      <c r="C24" t="s">
        <v>17</v>
      </c>
      <c r="D24" t="s">
        <v>18</v>
      </c>
      <c r="E24" t="s">
        <v>51</v>
      </c>
      <c r="F24" s="2" t="s">
        <v>181</v>
      </c>
      <c r="G24" s="1">
        <v>350.7</v>
      </c>
      <c r="H24" s="1">
        <v>360</v>
      </c>
      <c r="I24" s="1">
        <v>36</v>
      </c>
      <c r="J24" s="1">
        <v>43.8</v>
      </c>
      <c r="K24">
        <v>2004</v>
      </c>
      <c r="L24">
        <v>7</v>
      </c>
      <c r="M24">
        <v>26</v>
      </c>
      <c r="N24">
        <v>2004</v>
      </c>
      <c r="O24">
        <v>7</v>
      </c>
      <c r="P24">
        <v>30</v>
      </c>
    </row>
    <row r="25" spans="1:18" ht="17">
      <c r="A25" t="s">
        <v>15</v>
      </c>
      <c r="B25" s="5" t="s">
        <v>48</v>
      </c>
      <c r="C25" t="s">
        <v>17</v>
      </c>
      <c r="D25" t="s">
        <v>18</v>
      </c>
      <c r="E25" t="s">
        <v>52</v>
      </c>
      <c r="F25" s="2" t="s">
        <v>182</v>
      </c>
      <c r="G25" s="1">
        <v>350.7</v>
      </c>
      <c r="H25" s="1">
        <v>360</v>
      </c>
      <c r="I25" s="1">
        <v>36</v>
      </c>
      <c r="J25" s="1">
        <v>43.8</v>
      </c>
      <c r="K25">
        <v>2006</v>
      </c>
      <c r="L25">
        <v>7</v>
      </c>
      <c r="M25">
        <v>15</v>
      </c>
      <c r="N25">
        <v>2006</v>
      </c>
      <c r="O25">
        <v>8</v>
      </c>
      <c r="P25">
        <v>4</v>
      </c>
    </row>
    <row r="26" spans="1:18" ht="17">
      <c r="A26" t="s">
        <v>15</v>
      </c>
      <c r="B26" s="5" t="s">
        <v>48</v>
      </c>
      <c r="C26" t="s">
        <v>17</v>
      </c>
      <c r="D26" t="s">
        <v>18</v>
      </c>
      <c r="E26" t="s">
        <v>53</v>
      </c>
      <c r="F26" s="2" t="s">
        <v>183</v>
      </c>
      <c r="G26" s="1">
        <v>350.7</v>
      </c>
      <c r="H26" s="1">
        <v>360</v>
      </c>
      <c r="I26" s="1">
        <v>36</v>
      </c>
      <c r="J26" s="1">
        <v>43.8</v>
      </c>
      <c r="K26">
        <v>2019</v>
      </c>
      <c r="L26">
        <v>6</v>
      </c>
      <c r="M26">
        <v>26</v>
      </c>
      <c r="N26">
        <v>2019</v>
      </c>
      <c r="O26">
        <v>6</v>
      </c>
      <c r="P26">
        <v>30</v>
      </c>
    </row>
    <row r="27" spans="1:18">
      <c r="A27" t="s">
        <v>15</v>
      </c>
      <c r="B27" t="s">
        <v>54</v>
      </c>
      <c r="C27" t="s">
        <v>55</v>
      </c>
      <c r="D27" t="s">
        <v>46</v>
      </c>
      <c r="E27" t="s">
        <v>56</v>
      </c>
      <c r="F27" t="s">
        <v>20</v>
      </c>
      <c r="G27" s="1">
        <v>16.5</v>
      </c>
      <c r="H27" s="1">
        <v>32.9</v>
      </c>
      <c r="I27" s="1">
        <v>-34.799999999999997</v>
      </c>
      <c r="J27" s="1">
        <v>-22</v>
      </c>
      <c r="K27">
        <v>2016</v>
      </c>
      <c r="L27">
        <v>1</v>
      </c>
      <c r="M27">
        <v>1</v>
      </c>
      <c r="N27">
        <v>2016</v>
      </c>
      <c r="O27">
        <v>1</v>
      </c>
      <c r="P27">
        <v>10</v>
      </c>
    </row>
    <row r="28" spans="1:18">
      <c r="A28" t="s">
        <v>15</v>
      </c>
      <c r="B28" t="s">
        <v>57</v>
      </c>
      <c r="C28" t="s">
        <v>58</v>
      </c>
      <c r="D28" t="s">
        <v>18</v>
      </c>
      <c r="E28" t="s">
        <v>59</v>
      </c>
      <c r="F28" t="s">
        <v>20</v>
      </c>
      <c r="G28" s="1">
        <v>17.100000000000001</v>
      </c>
      <c r="H28" s="1">
        <v>22.5</v>
      </c>
      <c r="I28" s="1">
        <v>47.7</v>
      </c>
      <c r="J28" s="1">
        <v>49.6</v>
      </c>
      <c r="K28">
        <v>2007</v>
      </c>
      <c r="L28">
        <v>7</v>
      </c>
      <c r="M28">
        <v>15</v>
      </c>
      <c r="N28">
        <v>2007</v>
      </c>
      <c r="O28">
        <v>7</v>
      </c>
      <c r="P28">
        <v>22</v>
      </c>
    </row>
    <row r="29" spans="1:18">
      <c r="A29" t="s">
        <v>15</v>
      </c>
      <c r="B29" t="s">
        <v>60</v>
      </c>
      <c r="C29" t="s">
        <v>17</v>
      </c>
      <c r="D29" t="s">
        <v>18</v>
      </c>
      <c r="E29" t="s">
        <v>61</v>
      </c>
      <c r="F29" t="s">
        <v>20</v>
      </c>
      <c r="G29" s="1">
        <v>18.8</v>
      </c>
      <c r="H29" s="1">
        <v>21</v>
      </c>
      <c r="I29" s="1">
        <v>41.9</v>
      </c>
      <c r="J29" s="1">
        <v>46.2</v>
      </c>
      <c r="K29">
        <v>2007</v>
      </c>
      <c r="L29">
        <v>7</v>
      </c>
      <c r="M29">
        <v>16</v>
      </c>
      <c r="N29">
        <v>2007</v>
      </c>
      <c r="O29">
        <v>7</v>
      </c>
      <c r="P29">
        <v>24</v>
      </c>
    </row>
    <row r="30" spans="1:18">
      <c r="A30" t="s">
        <v>15</v>
      </c>
      <c r="B30" t="s">
        <v>62</v>
      </c>
      <c r="C30" t="s">
        <v>63</v>
      </c>
      <c r="D30" t="s">
        <v>64</v>
      </c>
      <c r="E30" t="s">
        <v>40</v>
      </c>
      <c r="F30" t="s">
        <v>20</v>
      </c>
      <c r="G30" s="1">
        <v>34</v>
      </c>
      <c r="H30" s="1">
        <v>55</v>
      </c>
      <c r="I30" s="1">
        <v>16</v>
      </c>
      <c r="J30" s="1">
        <v>32</v>
      </c>
      <c r="K30">
        <v>2024</v>
      </c>
      <c r="L30">
        <v>6</v>
      </c>
      <c r="M30">
        <v>1</v>
      </c>
      <c r="N30">
        <v>2024</v>
      </c>
      <c r="O30">
        <v>6</v>
      </c>
      <c r="P30">
        <v>20</v>
      </c>
    </row>
    <row r="31" spans="1:18">
      <c r="A31" t="s">
        <v>15</v>
      </c>
      <c r="B31" s="2" t="s">
        <v>173</v>
      </c>
      <c r="C31" t="s">
        <v>58</v>
      </c>
      <c r="D31" t="s">
        <v>18</v>
      </c>
      <c r="E31" t="s">
        <v>65</v>
      </c>
      <c r="F31" s="2" t="s">
        <v>174</v>
      </c>
      <c r="G31" s="1">
        <v>30</v>
      </c>
      <c r="H31" s="1">
        <v>180</v>
      </c>
      <c r="I31" s="1">
        <v>41</v>
      </c>
      <c r="J31" s="1">
        <v>81</v>
      </c>
      <c r="K31">
        <v>1995</v>
      </c>
      <c r="L31">
        <v>6</v>
      </c>
      <c r="M31">
        <v>14</v>
      </c>
      <c r="N31">
        <v>1995</v>
      </c>
      <c r="O31">
        <v>6</v>
      </c>
      <c r="P31">
        <v>14</v>
      </c>
    </row>
    <row r="32" spans="1:18">
      <c r="A32" t="s">
        <v>15</v>
      </c>
      <c r="B32" t="s">
        <v>66</v>
      </c>
      <c r="C32" t="s">
        <v>58</v>
      </c>
      <c r="D32" t="s">
        <v>18</v>
      </c>
      <c r="E32" t="s">
        <v>40</v>
      </c>
      <c r="F32" t="s">
        <v>20</v>
      </c>
      <c r="G32" s="1">
        <v>20.2</v>
      </c>
      <c r="H32" s="1">
        <v>29.8</v>
      </c>
      <c r="I32" s="1">
        <v>43.6</v>
      </c>
      <c r="J32" s="1">
        <v>48.3</v>
      </c>
      <c r="K32">
        <v>1996</v>
      </c>
      <c r="L32">
        <v>7</v>
      </c>
      <c r="M32">
        <v>4</v>
      </c>
      <c r="N32">
        <v>1996</v>
      </c>
      <c r="O32">
        <v>7</v>
      </c>
      <c r="P32">
        <v>4</v>
      </c>
    </row>
    <row r="33" spans="1:16">
      <c r="A33" t="s">
        <v>15</v>
      </c>
      <c r="B33" t="s">
        <v>66</v>
      </c>
      <c r="C33" t="s">
        <v>58</v>
      </c>
      <c r="D33" t="s">
        <v>18</v>
      </c>
      <c r="E33" t="s">
        <v>40</v>
      </c>
      <c r="F33" t="s">
        <v>20</v>
      </c>
      <c r="G33" s="1">
        <v>20.2</v>
      </c>
      <c r="H33" s="1">
        <v>29.8</v>
      </c>
      <c r="I33" s="1">
        <v>43.6</v>
      </c>
      <c r="J33" s="1">
        <v>48.3</v>
      </c>
      <c r="K33">
        <v>1998</v>
      </c>
      <c r="L33">
        <v>8</v>
      </c>
      <c r="M33">
        <v>3</v>
      </c>
      <c r="N33">
        <v>1998</v>
      </c>
      <c r="O33">
        <v>8</v>
      </c>
      <c r="P33">
        <v>3</v>
      </c>
    </row>
    <row r="34" spans="1:16">
      <c r="A34" t="s">
        <v>15</v>
      </c>
      <c r="B34" t="s">
        <v>66</v>
      </c>
      <c r="C34" t="s">
        <v>58</v>
      </c>
      <c r="D34" t="s">
        <v>18</v>
      </c>
      <c r="E34" t="s">
        <v>67</v>
      </c>
      <c r="F34" t="s">
        <v>20</v>
      </c>
      <c r="G34" s="1">
        <v>20.2</v>
      </c>
      <c r="H34" s="1">
        <v>29.8</v>
      </c>
      <c r="I34" s="1">
        <v>43.6</v>
      </c>
      <c r="J34" s="1">
        <v>48.3</v>
      </c>
      <c r="K34">
        <v>2005</v>
      </c>
      <c r="L34">
        <v>7</v>
      </c>
      <c r="M34">
        <v>27</v>
      </c>
      <c r="N34">
        <v>2005</v>
      </c>
      <c r="O34">
        <v>8</v>
      </c>
      <c r="P34">
        <v>1</v>
      </c>
    </row>
    <row r="35" spans="1:16">
      <c r="A35" t="s">
        <v>15</v>
      </c>
      <c r="B35" t="s">
        <v>68</v>
      </c>
      <c r="C35" t="s">
        <v>69</v>
      </c>
      <c r="D35" t="s">
        <v>64</v>
      </c>
      <c r="E35" t="s">
        <v>40</v>
      </c>
      <c r="F35" t="s">
        <v>20</v>
      </c>
      <c r="G35" s="1">
        <v>124.6</v>
      </c>
      <c r="H35" s="1">
        <v>130.80000000000001</v>
      </c>
      <c r="I35" s="1">
        <v>33</v>
      </c>
      <c r="J35" s="1">
        <v>38.6</v>
      </c>
      <c r="K35">
        <v>1990</v>
      </c>
      <c r="L35">
        <v>7</v>
      </c>
      <c r="M35">
        <v>29</v>
      </c>
      <c r="N35">
        <v>1990</v>
      </c>
      <c r="O35">
        <v>7</v>
      </c>
      <c r="P35">
        <v>29</v>
      </c>
    </row>
    <row r="36" spans="1:16">
      <c r="A36" t="s">
        <v>15</v>
      </c>
      <c r="B36" t="s">
        <v>68</v>
      </c>
      <c r="C36" t="s">
        <v>69</v>
      </c>
      <c r="D36" t="s">
        <v>64</v>
      </c>
      <c r="E36" t="s">
        <v>40</v>
      </c>
      <c r="F36" t="s">
        <v>20</v>
      </c>
      <c r="G36" s="1">
        <v>124.6</v>
      </c>
      <c r="H36" s="1">
        <v>130.80000000000001</v>
      </c>
      <c r="I36" s="1">
        <v>33</v>
      </c>
      <c r="J36" s="1">
        <v>38.6</v>
      </c>
      <c r="K36">
        <v>2022</v>
      </c>
      <c r="L36">
        <v>7</v>
      </c>
      <c r="M36">
        <v>1</v>
      </c>
      <c r="N36">
        <v>2022</v>
      </c>
      <c r="O36">
        <v>7</v>
      </c>
      <c r="P36">
        <v>2</v>
      </c>
    </row>
    <row r="37" spans="1:16">
      <c r="A37" t="s">
        <v>15</v>
      </c>
      <c r="B37" t="s">
        <v>70</v>
      </c>
      <c r="C37" t="s">
        <v>17</v>
      </c>
      <c r="D37" t="s">
        <v>18</v>
      </c>
      <c r="E37" t="s">
        <v>71</v>
      </c>
      <c r="F37" t="s">
        <v>25</v>
      </c>
      <c r="G37" s="1">
        <f>360-9.6</f>
        <v>350.4</v>
      </c>
      <c r="H37" s="1">
        <f>360-6.2</f>
        <v>353.8</v>
      </c>
      <c r="I37" s="1">
        <v>36.6</v>
      </c>
      <c r="J37" s="1">
        <v>42.1</v>
      </c>
      <c r="K37">
        <v>2003</v>
      </c>
      <c r="L37">
        <v>7</v>
      </c>
      <c r="M37">
        <v>30</v>
      </c>
      <c r="N37">
        <v>2003</v>
      </c>
      <c r="O37">
        <v>8</v>
      </c>
      <c r="P37">
        <v>15</v>
      </c>
    </row>
    <row r="38" spans="1:16">
      <c r="A38" t="s">
        <v>15</v>
      </c>
      <c r="B38" t="s">
        <v>70</v>
      </c>
      <c r="C38" t="s">
        <v>17</v>
      </c>
      <c r="D38" t="s">
        <v>18</v>
      </c>
      <c r="E38" t="s">
        <v>71</v>
      </c>
      <c r="F38" t="s">
        <v>25</v>
      </c>
      <c r="G38" s="1">
        <f>360-9.6</f>
        <v>350.4</v>
      </c>
      <c r="H38" s="1">
        <f>360-6.2</f>
        <v>353.8</v>
      </c>
      <c r="I38" s="1">
        <v>36.6</v>
      </c>
      <c r="J38" s="1">
        <v>42.1</v>
      </c>
      <c r="K38">
        <v>2006</v>
      </c>
      <c r="L38">
        <v>7</v>
      </c>
      <c r="M38">
        <v>11</v>
      </c>
      <c r="N38">
        <v>2006</v>
      </c>
      <c r="O38">
        <v>7</v>
      </c>
      <c r="P38">
        <v>17</v>
      </c>
    </row>
    <row r="39" spans="1:16">
      <c r="A39" t="s">
        <v>15</v>
      </c>
      <c r="B39" t="s">
        <v>72</v>
      </c>
      <c r="C39" t="s">
        <v>73</v>
      </c>
      <c r="D39" t="s">
        <v>64</v>
      </c>
      <c r="E39" t="s">
        <v>74</v>
      </c>
      <c r="F39" t="s">
        <v>20</v>
      </c>
      <c r="G39" s="1">
        <v>60.9</v>
      </c>
      <c r="H39" s="1">
        <v>77</v>
      </c>
      <c r="I39" s="1">
        <v>23.6</v>
      </c>
      <c r="J39" s="1">
        <v>37</v>
      </c>
      <c r="K39">
        <v>1991</v>
      </c>
      <c r="L39">
        <v>6</v>
      </c>
      <c r="M39">
        <v>1</v>
      </c>
      <c r="N39">
        <v>1991</v>
      </c>
      <c r="O39">
        <v>6</v>
      </c>
      <c r="P39">
        <v>15</v>
      </c>
    </row>
    <row r="40" spans="1:16">
      <c r="A40" t="s">
        <v>15</v>
      </c>
      <c r="B40" t="s">
        <v>72</v>
      </c>
      <c r="C40" t="s">
        <v>73</v>
      </c>
      <c r="D40" t="s">
        <v>64</v>
      </c>
      <c r="E40" t="s">
        <v>75</v>
      </c>
      <c r="F40" t="s">
        <v>20</v>
      </c>
      <c r="G40" s="1">
        <v>60.9</v>
      </c>
      <c r="H40" s="1">
        <v>77</v>
      </c>
      <c r="I40" s="1">
        <v>23.6</v>
      </c>
      <c r="J40" s="1">
        <v>37</v>
      </c>
      <c r="K40">
        <v>1996</v>
      </c>
      <c r="L40">
        <v>6</v>
      </c>
      <c r="M40">
        <v>19</v>
      </c>
      <c r="N40">
        <v>1996</v>
      </c>
      <c r="O40">
        <v>6</v>
      </c>
      <c r="P40">
        <v>19</v>
      </c>
    </row>
    <row r="41" spans="1:16">
      <c r="A41" t="s">
        <v>15</v>
      </c>
      <c r="B41" t="s">
        <v>72</v>
      </c>
      <c r="C41" t="s">
        <v>73</v>
      </c>
      <c r="D41" t="s">
        <v>64</v>
      </c>
      <c r="E41" t="s">
        <v>76</v>
      </c>
      <c r="F41" t="s">
        <v>20</v>
      </c>
      <c r="G41" s="1">
        <v>60.9</v>
      </c>
      <c r="H41" s="1">
        <v>77</v>
      </c>
      <c r="I41" s="1">
        <v>23.6</v>
      </c>
      <c r="J41" s="1">
        <v>37</v>
      </c>
      <c r="K41">
        <v>1997</v>
      </c>
      <c r="L41">
        <v>6</v>
      </c>
      <c r="M41">
        <v>16</v>
      </c>
      <c r="N41">
        <v>1997</v>
      </c>
      <c r="O41">
        <v>6</v>
      </c>
      <c r="P41">
        <v>16</v>
      </c>
    </row>
    <row r="42" spans="1:16">
      <c r="A42" t="s">
        <v>15</v>
      </c>
      <c r="B42" t="s">
        <v>72</v>
      </c>
      <c r="C42" t="s">
        <v>73</v>
      </c>
      <c r="D42" t="s">
        <v>64</v>
      </c>
      <c r="E42" t="s">
        <v>77</v>
      </c>
      <c r="F42" t="s">
        <v>20</v>
      </c>
      <c r="G42" s="1">
        <v>60.9</v>
      </c>
      <c r="H42" s="1">
        <v>77</v>
      </c>
      <c r="I42" s="1">
        <v>23.6</v>
      </c>
      <c r="J42" s="1">
        <v>37</v>
      </c>
      <c r="K42">
        <v>2003</v>
      </c>
      <c r="L42">
        <v>5</v>
      </c>
      <c r="M42">
        <v>1</v>
      </c>
      <c r="N42">
        <v>2003</v>
      </c>
      <c r="O42">
        <v>6</v>
      </c>
      <c r="P42">
        <v>6</v>
      </c>
    </row>
    <row r="43" spans="1:16">
      <c r="A43" t="s">
        <v>15</v>
      </c>
      <c r="B43" t="s">
        <v>72</v>
      </c>
      <c r="C43" t="s">
        <v>73</v>
      </c>
      <c r="D43" t="s">
        <v>64</v>
      </c>
      <c r="E43" t="s">
        <v>78</v>
      </c>
      <c r="F43" t="s">
        <v>20</v>
      </c>
      <c r="G43" s="1">
        <v>60.9</v>
      </c>
      <c r="H43" s="1">
        <v>77</v>
      </c>
      <c r="I43" s="1">
        <v>23.6</v>
      </c>
      <c r="J43" s="1">
        <v>37</v>
      </c>
      <c r="K43">
        <v>2005</v>
      </c>
      <c r="L43">
        <v>6</v>
      </c>
      <c r="M43">
        <v>13</v>
      </c>
      <c r="N43">
        <v>2005</v>
      </c>
      <c r="O43">
        <v>6</v>
      </c>
      <c r="P43">
        <v>28</v>
      </c>
    </row>
    <row r="44" spans="1:16">
      <c r="A44" t="s">
        <v>15</v>
      </c>
      <c r="B44" t="s">
        <v>72</v>
      </c>
      <c r="C44" t="s">
        <v>73</v>
      </c>
      <c r="D44" t="s">
        <v>64</v>
      </c>
      <c r="E44" t="s">
        <v>79</v>
      </c>
      <c r="F44" t="s">
        <v>20</v>
      </c>
      <c r="G44" s="1">
        <v>60.9</v>
      </c>
      <c r="H44" s="1">
        <v>77</v>
      </c>
      <c r="I44" s="1">
        <v>23.6</v>
      </c>
      <c r="J44" s="1">
        <v>37</v>
      </c>
      <c r="K44">
        <v>2015</v>
      </c>
      <c r="L44">
        <v>6</v>
      </c>
      <c r="M44">
        <v>18</v>
      </c>
      <c r="N44">
        <v>2015</v>
      </c>
      <c r="O44">
        <v>6</v>
      </c>
      <c r="P44">
        <v>24</v>
      </c>
    </row>
    <row r="45" spans="1:16">
      <c r="A45" t="s">
        <v>15</v>
      </c>
      <c r="B45" t="s">
        <v>72</v>
      </c>
      <c r="C45" t="s">
        <v>73</v>
      </c>
      <c r="D45" t="s">
        <v>64</v>
      </c>
      <c r="E45" t="s">
        <v>75</v>
      </c>
      <c r="F45" t="s">
        <v>20</v>
      </c>
      <c r="G45" s="1">
        <v>60.9</v>
      </c>
      <c r="H45" s="1">
        <v>77</v>
      </c>
      <c r="I45" s="1">
        <v>23.6</v>
      </c>
      <c r="J45" s="1">
        <v>37</v>
      </c>
      <c r="K45">
        <v>2018</v>
      </c>
      <c r="L45">
        <v>5</v>
      </c>
      <c r="M45">
        <v>18</v>
      </c>
      <c r="N45">
        <v>2018</v>
      </c>
      <c r="O45">
        <v>5</v>
      </c>
      <c r="P45">
        <v>22</v>
      </c>
    </row>
    <row r="46" spans="1:16">
      <c r="A46" t="s">
        <v>15</v>
      </c>
      <c r="B46" t="s">
        <v>80</v>
      </c>
      <c r="C46" t="s">
        <v>42</v>
      </c>
      <c r="D46" t="s">
        <v>18</v>
      </c>
      <c r="E46" t="s">
        <v>81</v>
      </c>
      <c r="F46" t="s">
        <v>20</v>
      </c>
      <c r="G46" s="1">
        <v>3.4</v>
      </c>
      <c r="H46" s="1">
        <v>7.2</v>
      </c>
      <c r="I46" s="1">
        <v>50.7</v>
      </c>
      <c r="J46" s="1">
        <v>53.7</v>
      </c>
      <c r="K46">
        <v>2003</v>
      </c>
      <c r="L46">
        <v>7</v>
      </c>
      <c r="M46">
        <v>31</v>
      </c>
      <c r="N46">
        <v>2003</v>
      </c>
      <c r="O46">
        <v>8</v>
      </c>
      <c r="P46">
        <v>13</v>
      </c>
    </row>
    <row r="47" spans="1:16">
      <c r="A47" t="s">
        <v>15</v>
      </c>
      <c r="B47" t="s">
        <v>80</v>
      </c>
      <c r="C47" t="s">
        <v>42</v>
      </c>
      <c r="D47" t="s">
        <v>18</v>
      </c>
      <c r="E47" t="s">
        <v>81</v>
      </c>
      <c r="F47" t="s">
        <v>20</v>
      </c>
      <c r="G47" s="1">
        <v>3.4</v>
      </c>
      <c r="H47" s="1">
        <v>7.2</v>
      </c>
      <c r="I47" s="1">
        <v>50.7</v>
      </c>
      <c r="J47" s="1">
        <v>53.7</v>
      </c>
      <c r="K47">
        <v>2006</v>
      </c>
      <c r="L47">
        <v>7</v>
      </c>
      <c r="M47">
        <v>15</v>
      </c>
      <c r="N47">
        <v>2006</v>
      </c>
      <c r="O47">
        <v>7</v>
      </c>
      <c r="P47">
        <v>23</v>
      </c>
    </row>
    <row r="48" spans="1:16">
      <c r="A48" t="s">
        <v>15</v>
      </c>
      <c r="B48" t="s">
        <v>80</v>
      </c>
      <c r="C48" t="s">
        <v>42</v>
      </c>
      <c r="D48" t="s">
        <v>18</v>
      </c>
      <c r="E48" t="s">
        <v>40</v>
      </c>
      <c r="F48" t="s">
        <v>20</v>
      </c>
      <c r="G48" s="1">
        <v>3.4</v>
      </c>
      <c r="H48" s="1">
        <v>7.2</v>
      </c>
      <c r="I48" s="1">
        <v>50.7</v>
      </c>
      <c r="J48" s="1">
        <v>53.7</v>
      </c>
      <c r="K48">
        <v>2019</v>
      </c>
      <c r="L48">
        <v>7</v>
      </c>
      <c r="M48">
        <v>22</v>
      </c>
      <c r="N48">
        <v>2019</v>
      </c>
      <c r="O48">
        <v>7</v>
      </c>
      <c r="P48">
        <v>27</v>
      </c>
    </row>
    <row r="49" spans="1:16">
      <c r="A49" t="s">
        <v>15</v>
      </c>
      <c r="B49" t="s">
        <v>80</v>
      </c>
      <c r="C49" t="s">
        <v>42</v>
      </c>
      <c r="D49" t="s">
        <v>18</v>
      </c>
      <c r="E49" t="s">
        <v>40</v>
      </c>
      <c r="F49" t="s">
        <v>20</v>
      </c>
      <c r="G49" s="1">
        <v>3.4</v>
      </c>
      <c r="H49" s="1">
        <v>7.2</v>
      </c>
      <c r="I49" s="1">
        <v>50.7</v>
      </c>
      <c r="J49" s="1">
        <v>53.7</v>
      </c>
      <c r="K49">
        <v>2020</v>
      </c>
      <c r="L49">
        <v>8</v>
      </c>
      <c r="M49">
        <v>5</v>
      </c>
      <c r="N49">
        <v>2020</v>
      </c>
      <c r="O49">
        <v>8</v>
      </c>
      <c r="P49">
        <v>16</v>
      </c>
    </row>
    <row r="50" spans="1:16">
      <c r="A50" t="s">
        <v>15</v>
      </c>
      <c r="B50" t="s">
        <v>82</v>
      </c>
      <c r="C50" t="s">
        <v>83</v>
      </c>
      <c r="D50" t="s">
        <v>23</v>
      </c>
      <c r="E50" t="s">
        <v>84</v>
      </c>
      <c r="F50" t="s">
        <v>25</v>
      </c>
      <c r="G50" s="1">
        <v>241.5</v>
      </c>
      <c r="H50" s="1">
        <v>273.3</v>
      </c>
      <c r="I50" s="1">
        <v>14.5</v>
      </c>
      <c r="J50" s="1">
        <v>32.700000000000003</v>
      </c>
      <c r="K50">
        <v>1990</v>
      </c>
      <c r="L50">
        <v>4</v>
      </c>
      <c r="M50">
        <v>30</v>
      </c>
      <c r="N50">
        <v>1990</v>
      </c>
      <c r="O50">
        <v>6</v>
      </c>
      <c r="P50">
        <v>6</v>
      </c>
    </row>
    <row r="51" spans="1:16">
      <c r="A51" t="s">
        <v>15</v>
      </c>
      <c r="B51" t="s">
        <v>85</v>
      </c>
      <c r="C51" t="s">
        <v>39</v>
      </c>
      <c r="D51" t="s">
        <v>18</v>
      </c>
      <c r="E51" t="s">
        <v>40</v>
      </c>
      <c r="F51" t="s">
        <v>20</v>
      </c>
      <c r="G51" s="1">
        <v>20.9</v>
      </c>
      <c r="H51" s="1">
        <v>26.5</v>
      </c>
      <c r="I51" s="1">
        <v>54.5</v>
      </c>
      <c r="J51" s="1">
        <v>56</v>
      </c>
      <c r="K51">
        <v>1999</v>
      </c>
      <c r="L51">
        <v>6</v>
      </c>
      <c r="M51">
        <v>14</v>
      </c>
      <c r="N51">
        <v>1999</v>
      </c>
      <c r="O51">
        <v>6</v>
      </c>
      <c r="P51">
        <v>14</v>
      </c>
    </row>
    <row r="52" spans="1:16">
      <c r="A52" t="s">
        <v>15</v>
      </c>
      <c r="B52" t="s">
        <v>86</v>
      </c>
      <c r="C52" t="s">
        <v>87</v>
      </c>
      <c r="D52" t="s">
        <v>64</v>
      </c>
      <c r="E52" t="s">
        <v>88</v>
      </c>
      <c r="F52" t="s">
        <v>20</v>
      </c>
      <c r="G52" s="1">
        <v>69</v>
      </c>
      <c r="H52" s="1">
        <v>80</v>
      </c>
      <c r="I52" s="1">
        <v>39</v>
      </c>
      <c r="J52" s="1">
        <v>43</v>
      </c>
      <c r="K52">
        <v>2022</v>
      </c>
      <c r="L52">
        <v>7</v>
      </c>
      <c r="M52">
        <v>18</v>
      </c>
      <c r="N52">
        <v>2022</v>
      </c>
      <c r="O52">
        <v>7</v>
      </c>
      <c r="P52">
        <v>25</v>
      </c>
    </row>
    <row r="53" spans="1:16">
      <c r="A53" t="s">
        <v>15</v>
      </c>
      <c r="B53" t="s">
        <v>89</v>
      </c>
      <c r="C53" t="s">
        <v>69</v>
      </c>
      <c r="D53" t="s">
        <v>64</v>
      </c>
      <c r="E53" t="s">
        <v>90</v>
      </c>
      <c r="F53" t="s">
        <v>20</v>
      </c>
      <c r="G53" s="1">
        <v>122.93456999999999</v>
      </c>
      <c r="H53" s="1">
        <v>153.97999999999999</v>
      </c>
      <c r="I53" s="1">
        <v>24.396000000000001</v>
      </c>
      <c r="J53" s="1">
        <v>45.55</v>
      </c>
      <c r="K53">
        <v>2010</v>
      </c>
      <c r="L53">
        <v>7</v>
      </c>
      <c r="M53">
        <v>19</v>
      </c>
      <c r="N53">
        <v>2010</v>
      </c>
      <c r="O53">
        <v>7</v>
      </c>
      <c r="P53">
        <v>25</v>
      </c>
    </row>
    <row r="54" spans="1:16">
      <c r="A54" t="s">
        <v>15</v>
      </c>
      <c r="B54" t="s">
        <v>89</v>
      </c>
      <c r="C54" t="s">
        <v>69</v>
      </c>
      <c r="D54" t="s">
        <v>64</v>
      </c>
      <c r="E54" t="s">
        <v>90</v>
      </c>
      <c r="F54" t="s">
        <v>20</v>
      </c>
      <c r="G54" s="1">
        <v>122.93456999999999</v>
      </c>
      <c r="H54" s="1">
        <v>153.97999999999999</v>
      </c>
      <c r="I54" s="1">
        <v>24.396000000000001</v>
      </c>
      <c r="J54" s="1">
        <v>45.55</v>
      </c>
      <c r="K54">
        <v>2014</v>
      </c>
      <c r="L54">
        <v>7</v>
      </c>
      <c r="M54">
        <v>14</v>
      </c>
      <c r="N54">
        <v>2014</v>
      </c>
      <c r="O54">
        <v>7</v>
      </c>
      <c r="P54">
        <v>29</v>
      </c>
    </row>
    <row r="55" spans="1:16">
      <c r="A55" t="s">
        <v>15</v>
      </c>
      <c r="B55" t="s">
        <v>89</v>
      </c>
      <c r="C55" t="s">
        <v>69</v>
      </c>
      <c r="D55" t="s">
        <v>64</v>
      </c>
      <c r="E55" t="s">
        <v>91</v>
      </c>
      <c r="F55" t="s">
        <v>20</v>
      </c>
      <c r="G55" s="1">
        <v>122.93456999999999</v>
      </c>
      <c r="H55" s="1">
        <v>153.97999999999999</v>
      </c>
      <c r="I55" s="1">
        <v>24.396000000000001</v>
      </c>
      <c r="J55" s="1">
        <v>45.55</v>
      </c>
      <c r="K55">
        <v>2015</v>
      </c>
      <c r="L55">
        <v>8</v>
      </c>
      <c r="M55">
        <v>3</v>
      </c>
      <c r="N55">
        <v>2015</v>
      </c>
      <c r="O55">
        <v>8</v>
      </c>
      <c r="P55">
        <v>9</v>
      </c>
    </row>
    <row r="56" spans="1:16">
      <c r="A56" t="s">
        <v>15</v>
      </c>
      <c r="B56" t="s">
        <v>89</v>
      </c>
      <c r="C56" t="s">
        <v>69</v>
      </c>
      <c r="D56" t="s">
        <v>64</v>
      </c>
      <c r="E56" t="s">
        <v>92</v>
      </c>
      <c r="F56" t="s">
        <v>20</v>
      </c>
      <c r="G56" s="1">
        <v>122.93456999999999</v>
      </c>
      <c r="H56" s="1">
        <v>153.97999999999999</v>
      </c>
      <c r="I56" s="1">
        <v>24.396000000000001</v>
      </c>
      <c r="J56" s="1">
        <v>45.55</v>
      </c>
      <c r="K56">
        <v>2015</v>
      </c>
      <c r="L56">
        <v>5</v>
      </c>
      <c r="M56">
        <v>11</v>
      </c>
      <c r="N56">
        <v>2015</v>
      </c>
      <c r="O56">
        <v>5</v>
      </c>
      <c r="P56">
        <v>31</v>
      </c>
    </row>
    <row r="57" spans="1:16">
      <c r="A57" t="s">
        <v>15</v>
      </c>
      <c r="B57" t="s">
        <v>89</v>
      </c>
      <c r="C57" t="s">
        <v>69</v>
      </c>
      <c r="D57" t="s">
        <v>64</v>
      </c>
      <c r="E57" t="s">
        <v>93</v>
      </c>
      <c r="F57" t="s">
        <v>20</v>
      </c>
      <c r="G57" s="1">
        <v>122.93456999999999</v>
      </c>
      <c r="H57" s="1">
        <v>153.97999999999999</v>
      </c>
      <c r="I57" s="1">
        <v>24.396000000000001</v>
      </c>
      <c r="J57" s="1">
        <v>45.55</v>
      </c>
      <c r="K57">
        <v>2015</v>
      </c>
      <c r="L57">
        <v>7</v>
      </c>
      <c r="M57">
        <v>12</v>
      </c>
      <c r="N57">
        <v>2015</v>
      </c>
      <c r="O57">
        <v>7</v>
      </c>
      <c r="P57">
        <v>15</v>
      </c>
    </row>
    <row r="58" spans="1:16">
      <c r="A58" t="s">
        <v>15</v>
      </c>
      <c r="B58" t="s">
        <v>89</v>
      </c>
      <c r="C58" t="s">
        <v>69</v>
      </c>
      <c r="D58" t="s">
        <v>64</v>
      </c>
      <c r="E58" t="s">
        <v>94</v>
      </c>
      <c r="F58" t="s">
        <v>20</v>
      </c>
      <c r="G58" s="1">
        <v>122.93456999999999</v>
      </c>
      <c r="H58" s="1">
        <v>153.97999999999999</v>
      </c>
      <c r="I58" s="1">
        <v>24.396000000000001</v>
      </c>
      <c r="J58" s="1">
        <v>45.55</v>
      </c>
      <c r="K58">
        <v>2016</v>
      </c>
      <c r="L58">
        <v>8</v>
      </c>
      <c r="M58">
        <v>6</v>
      </c>
      <c r="N58">
        <v>2016</v>
      </c>
      <c r="O58">
        <v>8</v>
      </c>
      <c r="P58">
        <v>8</v>
      </c>
    </row>
    <row r="59" spans="1:16">
      <c r="A59" t="s">
        <v>15</v>
      </c>
      <c r="B59" t="s">
        <v>89</v>
      </c>
      <c r="C59" t="s">
        <v>69</v>
      </c>
      <c r="D59" t="s">
        <v>64</v>
      </c>
      <c r="E59" t="s">
        <v>95</v>
      </c>
      <c r="F59" t="s">
        <v>20</v>
      </c>
      <c r="G59" s="1">
        <v>122.93456999999999</v>
      </c>
      <c r="H59" s="1">
        <v>153.97999999999999</v>
      </c>
      <c r="I59" s="1">
        <v>24.396000000000001</v>
      </c>
      <c r="J59" s="1">
        <v>45.55</v>
      </c>
      <c r="K59">
        <v>2018</v>
      </c>
      <c r="L59">
        <v>7</v>
      </c>
      <c r="M59">
        <v>1</v>
      </c>
      <c r="N59">
        <v>2018</v>
      </c>
      <c r="O59">
        <v>7</v>
      </c>
      <c r="P59">
        <v>15</v>
      </c>
    </row>
    <row r="60" spans="1:16">
      <c r="A60" t="s">
        <v>15</v>
      </c>
      <c r="B60" t="s">
        <v>89</v>
      </c>
      <c r="C60" t="s">
        <v>69</v>
      </c>
      <c r="D60" t="s">
        <v>64</v>
      </c>
      <c r="E60" t="s">
        <v>40</v>
      </c>
      <c r="F60" t="s">
        <v>20</v>
      </c>
      <c r="G60" s="1">
        <v>122.93456999999999</v>
      </c>
      <c r="H60" s="1">
        <v>153.97999999999999</v>
      </c>
      <c r="I60" s="1">
        <v>24.396000000000001</v>
      </c>
      <c r="J60" s="1">
        <v>45.55</v>
      </c>
      <c r="K60">
        <v>2019</v>
      </c>
      <c r="L60">
        <v>7</v>
      </c>
      <c r="M60">
        <v>29</v>
      </c>
      <c r="N60">
        <v>2019</v>
      </c>
      <c r="O60">
        <v>8</v>
      </c>
      <c r="P60">
        <v>8</v>
      </c>
    </row>
    <row r="61" spans="1:16">
      <c r="A61" t="s">
        <v>15</v>
      </c>
      <c r="B61" t="s">
        <v>89</v>
      </c>
      <c r="C61" t="s">
        <v>69</v>
      </c>
      <c r="D61" t="s">
        <v>64</v>
      </c>
      <c r="E61" t="s">
        <v>40</v>
      </c>
      <c r="F61" t="s">
        <v>20</v>
      </c>
      <c r="G61" s="1">
        <v>122.93456999999999</v>
      </c>
      <c r="H61" s="1">
        <v>153.97999999999999</v>
      </c>
      <c r="I61" s="1">
        <v>24.396000000000001</v>
      </c>
      <c r="J61" s="1">
        <v>45.55</v>
      </c>
      <c r="K61">
        <v>2019</v>
      </c>
      <c r="L61">
        <v>7</v>
      </c>
      <c r="M61">
        <v>22</v>
      </c>
      <c r="N61">
        <v>2019</v>
      </c>
      <c r="O61">
        <v>7</v>
      </c>
      <c r="P61">
        <v>30</v>
      </c>
    </row>
    <row r="62" spans="1:16">
      <c r="A62" t="s">
        <v>15</v>
      </c>
      <c r="B62" t="s">
        <v>89</v>
      </c>
      <c r="C62" t="s">
        <v>69</v>
      </c>
      <c r="D62" t="s">
        <v>64</v>
      </c>
      <c r="E62" t="s">
        <v>96</v>
      </c>
      <c r="F62" t="s">
        <v>20</v>
      </c>
      <c r="G62" s="1">
        <v>122.93456999999999</v>
      </c>
      <c r="H62" s="1">
        <v>153.97999999999999</v>
      </c>
      <c r="I62" s="1">
        <v>24.396000000000001</v>
      </c>
      <c r="J62" s="1">
        <v>45.55</v>
      </c>
      <c r="K62">
        <v>2022</v>
      </c>
      <c r="L62">
        <v>6</v>
      </c>
      <c r="M62">
        <v>20</v>
      </c>
      <c r="N62">
        <v>2022</v>
      </c>
      <c r="O62">
        <v>7</v>
      </c>
      <c r="P62">
        <v>1</v>
      </c>
    </row>
    <row r="63" spans="1:16">
      <c r="A63" t="s">
        <v>15</v>
      </c>
      <c r="B63" t="s">
        <v>97</v>
      </c>
      <c r="C63" t="s">
        <v>17</v>
      </c>
      <c r="D63" t="s">
        <v>18</v>
      </c>
      <c r="E63" t="s">
        <v>98</v>
      </c>
      <c r="F63" t="s">
        <v>20</v>
      </c>
      <c r="G63" s="1">
        <v>6.6</v>
      </c>
      <c r="H63" s="1">
        <v>18.7</v>
      </c>
      <c r="I63" s="1">
        <v>36</v>
      </c>
      <c r="J63" s="1">
        <v>47.1</v>
      </c>
      <c r="K63">
        <v>1998</v>
      </c>
      <c r="L63">
        <v>7</v>
      </c>
      <c r="M63">
        <v>4</v>
      </c>
      <c r="N63">
        <v>1998</v>
      </c>
      <c r="O63">
        <v>7</v>
      </c>
      <c r="P63">
        <v>4</v>
      </c>
    </row>
    <row r="64" spans="1:16">
      <c r="A64" t="s">
        <v>15</v>
      </c>
      <c r="B64" t="s">
        <v>97</v>
      </c>
      <c r="C64" t="s">
        <v>17</v>
      </c>
      <c r="D64" t="s">
        <v>18</v>
      </c>
      <c r="E64" t="s">
        <v>99</v>
      </c>
      <c r="F64" t="s">
        <v>20</v>
      </c>
      <c r="G64" s="1">
        <v>6.6</v>
      </c>
      <c r="H64" s="1">
        <v>18.7</v>
      </c>
      <c r="I64" s="1">
        <v>36</v>
      </c>
      <c r="J64" s="1">
        <v>47.1</v>
      </c>
      <c r="K64">
        <v>2003</v>
      </c>
      <c r="L64">
        <v>7</v>
      </c>
      <c r="M64">
        <v>16</v>
      </c>
      <c r="N64">
        <v>2003</v>
      </c>
      <c r="O64">
        <v>8</v>
      </c>
      <c r="P64">
        <v>15</v>
      </c>
    </row>
    <row r="65" spans="1:16">
      <c r="A65" t="s">
        <v>15</v>
      </c>
      <c r="B65" t="s">
        <v>97</v>
      </c>
      <c r="C65" t="s">
        <v>17</v>
      </c>
      <c r="D65" t="s">
        <v>18</v>
      </c>
      <c r="E65" t="s">
        <v>100</v>
      </c>
      <c r="F65" t="s">
        <v>20</v>
      </c>
      <c r="G65" s="1">
        <v>6.6</v>
      </c>
      <c r="H65" s="1">
        <v>18.7</v>
      </c>
      <c r="I65" s="1">
        <v>36</v>
      </c>
      <c r="J65" s="1">
        <v>47.1</v>
      </c>
      <c r="K65">
        <v>2011</v>
      </c>
      <c r="L65">
        <v>8</v>
      </c>
      <c r="M65">
        <v>17</v>
      </c>
      <c r="N65">
        <v>2011</v>
      </c>
      <c r="O65">
        <v>8</v>
      </c>
      <c r="P65">
        <v>24</v>
      </c>
    </row>
    <row r="66" spans="1:16">
      <c r="A66" t="s">
        <v>15</v>
      </c>
      <c r="B66" t="s">
        <v>101</v>
      </c>
      <c r="C66" t="s">
        <v>73</v>
      </c>
      <c r="D66" t="s">
        <v>64</v>
      </c>
      <c r="E66" t="s">
        <v>102</v>
      </c>
      <c r="F66" t="s">
        <v>20</v>
      </c>
      <c r="G66" s="1">
        <v>68.7</v>
      </c>
      <c r="H66" s="1">
        <v>97.4</v>
      </c>
      <c r="I66" s="1">
        <v>6.5</v>
      </c>
      <c r="J66" s="1">
        <v>35</v>
      </c>
      <c r="K66">
        <v>1980</v>
      </c>
      <c r="L66">
        <v>4</v>
      </c>
      <c r="M66">
        <v>29</v>
      </c>
      <c r="N66">
        <v>1980</v>
      </c>
      <c r="O66">
        <v>4</v>
      </c>
      <c r="P66">
        <v>29</v>
      </c>
    </row>
    <row r="67" spans="1:16">
      <c r="A67" t="s">
        <v>15</v>
      </c>
      <c r="B67" t="s">
        <v>101</v>
      </c>
      <c r="C67" t="s">
        <v>73</v>
      </c>
      <c r="D67" t="s">
        <v>64</v>
      </c>
      <c r="E67" t="s">
        <v>103</v>
      </c>
      <c r="F67" t="s">
        <v>20</v>
      </c>
      <c r="G67" s="1">
        <v>68.7</v>
      </c>
      <c r="H67" s="1">
        <v>97.4</v>
      </c>
      <c r="I67" s="1">
        <v>6.5</v>
      </c>
      <c r="J67" s="1">
        <v>35</v>
      </c>
      <c r="K67">
        <v>1985</v>
      </c>
      <c r="L67">
        <v>6</v>
      </c>
      <c r="M67">
        <v>6</v>
      </c>
      <c r="N67">
        <v>1985</v>
      </c>
      <c r="O67">
        <v>6</v>
      </c>
      <c r="P67">
        <v>6</v>
      </c>
    </row>
    <row r="68" spans="1:16">
      <c r="A68" t="s">
        <v>15</v>
      </c>
      <c r="B68" t="s">
        <v>101</v>
      </c>
      <c r="C68" t="s">
        <v>73</v>
      </c>
      <c r="D68" t="s">
        <v>64</v>
      </c>
      <c r="E68" t="s">
        <v>104</v>
      </c>
      <c r="F68" t="s">
        <v>20</v>
      </c>
      <c r="G68" s="1">
        <v>68.7</v>
      </c>
      <c r="H68" s="1">
        <v>97.4</v>
      </c>
      <c r="I68" s="1">
        <v>6.5</v>
      </c>
      <c r="J68" s="1">
        <v>35</v>
      </c>
      <c r="K68">
        <v>1995</v>
      </c>
      <c r="L68">
        <v>5</v>
      </c>
      <c r="M68">
        <v>8</v>
      </c>
      <c r="N68">
        <v>1995</v>
      </c>
      <c r="O68">
        <v>6</v>
      </c>
      <c r="P68">
        <v>21</v>
      </c>
    </row>
    <row r="69" spans="1:16">
      <c r="A69" t="s">
        <v>15</v>
      </c>
      <c r="B69" t="s">
        <v>101</v>
      </c>
      <c r="C69" t="s">
        <v>73</v>
      </c>
      <c r="D69" t="s">
        <v>64</v>
      </c>
      <c r="E69" t="s">
        <v>105</v>
      </c>
      <c r="F69" t="s">
        <v>20</v>
      </c>
      <c r="G69" s="1">
        <v>68.7</v>
      </c>
      <c r="H69" s="1">
        <v>97.4</v>
      </c>
      <c r="I69" s="1">
        <v>6.5</v>
      </c>
      <c r="J69" s="1">
        <v>35</v>
      </c>
      <c r="K69">
        <v>1998</v>
      </c>
      <c r="L69">
        <v>5</v>
      </c>
      <c r="M69">
        <v>26</v>
      </c>
      <c r="N69">
        <v>1998</v>
      </c>
      <c r="O69">
        <v>5</v>
      </c>
      <c r="P69">
        <v>26</v>
      </c>
    </row>
    <row r="70" spans="1:16">
      <c r="A70" t="s">
        <v>15</v>
      </c>
      <c r="B70" t="s">
        <v>101</v>
      </c>
      <c r="C70" t="s">
        <v>73</v>
      </c>
      <c r="D70" t="s">
        <v>64</v>
      </c>
      <c r="E70" t="s">
        <v>106</v>
      </c>
      <c r="F70" t="s">
        <v>20</v>
      </c>
      <c r="G70" s="1">
        <v>68.7</v>
      </c>
      <c r="H70" s="1">
        <v>97.4</v>
      </c>
      <c r="I70" s="1">
        <v>6.5</v>
      </c>
      <c r="J70" s="1">
        <v>35</v>
      </c>
      <c r="K70">
        <v>2002</v>
      </c>
      <c r="L70">
        <v>5</v>
      </c>
      <c r="M70">
        <v>10</v>
      </c>
      <c r="N70">
        <v>2002</v>
      </c>
      <c r="O70">
        <v>5</v>
      </c>
      <c r="P70">
        <v>22</v>
      </c>
    </row>
    <row r="71" spans="1:16">
      <c r="A71" t="s">
        <v>15</v>
      </c>
      <c r="B71" t="s">
        <v>101</v>
      </c>
      <c r="C71" t="s">
        <v>73</v>
      </c>
      <c r="D71" t="s">
        <v>64</v>
      </c>
      <c r="E71" t="s">
        <v>107</v>
      </c>
      <c r="F71" t="s">
        <v>20</v>
      </c>
      <c r="G71" s="1">
        <v>68.7</v>
      </c>
      <c r="H71" s="1">
        <v>97.4</v>
      </c>
      <c r="I71" s="1">
        <v>6.5</v>
      </c>
      <c r="J71" s="1">
        <v>35</v>
      </c>
      <c r="K71">
        <v>2003</v>
      </c>
      <c r="L71">
        <v>5</v>
      </c>
      <c r="M71">
        <v>14</v>
      </c>
      <c r="N71">
        <v>2003</v>
      </c>
      <c r="O71">
        <v>6</v>
      </c>
      <c r="P71">
        <v>6</v>
      </c>
    </row>
    <row r="72" spans="1:16">
      <c r="A72" t="s">
        <v>15</v>
      </c>
      <c r="B72" t="s">
        <v>101</v>
      </c>
      <c r="C72" t="s">
        <v>73</v>
      </c>
      <c r="D72" t="s">
        <v>64</v>
      </c>
      <c r="E72" t="s">
        <v>108</v>
      </c>
      <c r="F72" t="s">
        <v>20</v>
      </c>
      <c r="G72" s="1">
        <v>68.7</v>
      </c>
      <c r="H72" s="1">
        <v>97.4</v>
      </c>
      <c r="I72" s="1">
        <v>6.5</v>
      </c>
      <c r="J72" s="1">
        <v>35</v>
      </c>
      <c r="K72">
        <v>2009</v>
      </c>
      <c r="L72">
        <v>4</v>
      </c>
      <c r="M72">
        <v>14</v>
      </c>
      <c r="N72">
        <v>2009</v>
      </c>
      <c r="O72">
        <v>6</v>
      </c>
      <c r="P72">
        <v>26</v>
      </c>
    </row>
    <row r="73" spans="1:16">
      <c r="A73" t="s">
        <v>15</v>
      </c>
      <c r="B73" t="s">
        <v>101</v>
      </c>
      <c r="C73" t="s">
        <v>73</v>
      </c>
      <c r="D73" t="s">
        <v>64</v>
      </c>
      <c r="E73" t="s">
        <v>109</v>
      </c>
      <c r="F73" t="s">
        <v>20</v>
      </c>
      <c r="G73" s="1">
        <v>68.7</v>
      </c>
      <c r="H73" s="1">
        <v>97.4</v>
      </c>
      <c r="I73" s="1">
        <v>6.5</v>
      </c>
      <c r="J73" s="1">
        <v>35</v>
      </c>
      <c r="K73">
        <v>2013</v>
      </c>
      <c r="L73">
        <v>4</v>
      </c>
      <c r="M73">
        <v>1</v>
      </c>
      <c r="N73">
        <v>2013</v>
      </c>
      <c r="O73">
        <v>5</v>
      </c>
      <c r="P73">
        <v>30</v>
      </c>
    </row>
    <row r="74" spans="1:16">
      <c r="A74" t="s">
        <v>15</v>
      </c>
      <c r="B74" t="s">
        <v>101</v>
      </c>
      <c r="C74" t="s">
        <v>73</v>
      </c>
      <c r="D74" t="s">
        <v>64</v>
      </c>
      <c r="E74" t="s">
        <v>110</v>
      </c>
      <c r="F74" t="s">
        <v>20</v>
      </c>
      <c r="G74" s="1">
        <v>68.7</v>
      </c>
      <c r="H74" s="1">
        <v>97.4</v>
      </c>
      <c r="I74" s="1">
        <v>6.5</v>
      </c>
      <c r="J74" s="1">
        <v>35</v>
      </c>
      <c r="K74">
        <v>2015</v>
      </c>
      <c r="L74">
        <v>5</v>
      </c>
      <c r="M74">
        <v>20</v>
      </c>
      <c r="N74">
        <v>2015</v>
      </c>
      <c r="O74">
        <v>5</v>
      </c>
      <c r="P74">
        <v>31</v>
      </c>
    </row>
    <row r="75" spans="1:16">
      <c r="A75" t="s">
        <v>15</v>
      </c>
      <c r="B75" t="s">
        <v>101</v>
      </c>
      <c r="C75" t="s">
        <v>73</v>
      </c>
      <c r="D75" t="s">
        <v>64</v>
      </c>
      <c r="E75" t="s">
        <v>111</v>
      </c>
      <c r="F75" t="s">
        <v>20</v>
      </c>
      <c r="G75" s="1">
        <v>68.7</v>
      </c>
      <c r="H75" s="1">
        <v>97.4</v>
      </c>
      <c r="I75" s="1">
        <v>6.5</v>
      </c>
      <c r="J75" s="1">
        <v>35</v>
      </c>
      <c r="K75">
        <v>2016</v>
      </c>
      <c r="L75">
        <v>4</v>
      </c>
      <c r="M75">
        <v>1</v>
      </c>
      <c r="N75">
        <v>2016</v>
      </c>
      <c r="O75">
        <v>5</v>
      </c>
      <c r="P75">
        <v>20</v>
      </c>
    </row>
    <row r="76" spans="1:16">
      <c r="A76" t="s">
        <v>15</v>
      </c>
      <c r="B76" t="s">
        <v>101</v>
      </c>
      <c r="C76" t="s">
        <v>73</v>
      </c>
      <c r="D76" t="s">
        <v>64</v>
      </c>
      <c r="E76" t="s">
        <v>112</v>
      </c>
      <c r="F76" t="s">
        <v>20</v>
      </c>
      <c r="G76" s="1">
        <v>68.7</v>
      </c>
      <c r="H76" s="1">
        <v>97.4</v>
      </c>
      <c r="I76" s="1">
        <v>6.5</v>
      </c>
      <c r="J76" s="1">
        <v>35</v>
      </c>
      <c r="K76">
        <v>2017</v>
      </c>
      <c r="L76">
        <v>4</v>
      </c>
      <c r="M76">
        <v>12</v>
      </c>
      <c r="N76">
        <v>2017</v>
      </c>
      <c r="O76">
        <v>6</v>
      </c>
      <c r="P76">
        <v>15</v>
      </c>
    </row>
    <row r="77" spans="1:16">
      <c r="A77" t="s">
        <v>15</v>
      </c>
      <c r="B77" t="s">
        <v>101</v>
      </c>
      <c r="C77" t="s">
        <v>73</v>
      </c>
      <c r="D77" t="s">
        <v>64</v>
      </c>
      <c r="E77" t="s">
        <v>113</v>
      </c>
      <c r="F77" t="s">
        <v>20</v>
      </c>
      <c r="G77" s="1">
        <v>68.7</v>
      </c>
      <c r="H77" s="1">
        <v>97.4</v>
      </c>
      <c r="I77" s="1">
        <v>6.5</v>
      </c>
      <c r="J77" s="1">
        <v>35</v>
      </c>
      <c r="K77">
        <v>2024</v>
      </c>
      <c r="L77">
        <v>5</v>
      </c>
      <c r="M77">
        <v>1</v>
      </c>
      <c r="N77">
        <v>2024</v>
      </c>
      <c r="O77">
        <v>5</v>
      </c>
      <c r="P77">
        <v>30</v>
      </c>
    </row>
    <row r="78" spans="1:16">
      <c r="A78" t="s">
        <v>15</v>
      </c>
      <c r="B78" t="s">
        <v>114</v>
      </c>
      <c r="C78" t="s">
        <v>17</v>
      </c>
      <c r="D78" t="s">
        <v>18</v>
      </c>
      <c r="E78" t="s">
        <v>115</v>
      </c>
      <c r="F78" t="s">
        <v>20</v>
      </c>
      <c r="G78" s="1">
        <v>19.3</v>
      </c>
      <c r="H78" s="1">
        <v>28.2</v>
      </c>
      <c r="I78" s="1">
        <v>34.9</v>
      </c>
      <c r="J78" s="1">
        <v>41.7</v>
      </c>
      <c r="K78">
        <v>1985</v>
      </c>
      <c r="L78">
        <v>8</v>
      </c>
      <c r="M78">
        <v>5</v>
      </c>
      <c r="N78">
        <v>1985</v>
      </c>
      <c r="O78">
        <v>8</v>
      </c>
      <c r="P78">
        <v>5</v>
      </c>
    </row>
    <row r="79" spans="1:16">
      <c r="A79" t="s">
        <v>15</v>
      </c>
      <c r="B79" t="s">
        <v>114</v>
      </c>
      <c r="C79" t="s">
        <v>17</v>
      </c>
      <c r="D79" t="s">
        <v>18</v>
      </c>
      <c r="E79" t="s">
        <v>40</v>
      </c>
      <c r="F79" t="s">
        <v>20</v>
      </c>
      <c r="G79" s="1">
        <v>19.3</v>
      </c>
      <c r="H79" s="1">
        <v>28.2</v>
      </c>
      <c r="I79" s="1">
        <v>34.9</v>
      </c>
      <c r="J79" s="1">
        <v>41.7</v>
      </c>
      <c r="K79">
        <v>1987</v>
      </c>
      <c r="L79">
        <v>7</v>
      </c>
      <c r="M79">
        <v>20</v>
      </c>
      <c r="N79">
        <v>1987</v>
      </c>
      <c r="O79">
        <v>7</v>
      </c>
      <c r="P79">
        <v>31</v>
      </c>
    </row>
    <row r="80" spans="1:16">
      <c r="A80" t="s">
        <v>15</v>
      </c>
      <c r="B80" t="s">
        <v>114</v>
      </c>
      <c r="C80" t="s">
        <v>17</v>
      </c>
      <c r="D80" t="s">
        <v>18</v>
      </c>
      <c r="E80" t="s">
        <v>40</v>
      </c>
      <c r="F80" t="s">
        <v>20</v>
      </c>
      <c r="G80" s="1">
        <v>19.3</v>
      </c>
      <c r="H80" s="1">
        <v>28.2</v>
      </c>
      <c r="I80" s="1">
        <v>34.9</v>
      </c>
      <c r="J80" s="1">
        <v>41.7</v>
      </c>
      <c r="K80">
        <v>1988</v>
      </c>
      <c r="L80">
        <v>7</v>
      </c>
      <c r="M80">
        <v>3</v>
      </c>
      <c r="N80">
        <v>1988</v>
      </c>
      <c r="O80">
        <v>7</v>
      </c>
      <c r="P80">
        <v>3</v>
      </c>
    </row>
    <row r="81" spans="1:16">
      <c r="A81" t="s">
        <v>15</v>
      </c>
      <c r="B81" t="s">
        <v>116</v>
      </c>
      <c r="C81" t="s">
        <v>42</v>
      </c>
      <c r="D81" t="s">
        <v>18</v>
      </c>
      <c r="E81" t="s">
        <v>117</v>
      </c>
      <c r="F81" t="s">
        <v>20</v>
      </c>
      <c r="G81" s="1">
        <v>5.8</v>
      </c>
      <c r="H81" s="1">
        <v>15</v>
      </c>
      <c r="I81" s="1">
        <v>41.7</v>
      </c>
      <c r="J81" s="1">
        <v>55</v>
      </c>
      <c r="K81">
        <v>2006</v>
      </c>
      <c r="L81">
        <v>7</v>
      </c>
      <c r="M81">
        <v>15</v>
      </c>
      <c r="N81">
        <v>2006</v>
      </c>
      <c r="O81">
        <v>7</v>
      </c>
      <c r="P81">
        <v>23</v>
      </c>
    </row>
    <row r="82" spans="1:16">
      <c r="A82" t="s">
        <v>15</v>
      </c>
      <c r="B82" t="s">
        <v>116</v>
      </c>
      <c r="C82" t="s">
        <v>42</v>
      </c>
      <c r="D82" t="s">
        <v>18</v>
      </c>
      <c r="E82" t="s">
        <v>40</v>
      </c>
      <c r="F82" t="s">
        <v>20</v>
      </c>
      <c r="G82" s="1">
        <v>5.8</v>
      </c>
      <c r="H82" s="1">
        <v>15</v>
      </c>
      <c r="I82" s="1">
        <v>41.7</v>
      </c>
      <c r="J82" s="1">
        <v>55</v>
      </c>
      <c r="K82">
        <v>2019</v>
      </c>
      <c r="L82">
        <v>6</v>
      </c>
      <c r="M82">
        <v>24</v>
      </c>
      <c r="N82">
        <v>2019</v>
      </c>
      <c r="O82">
        <v>6</v>
      </c>
      <c r="P82">
        <v>30</v>
      </c>
    </row>
    <row r="83" spans="1:16">
      <c r="A83" t="s">
        <v>15</v>
      </c>
      <c r="B83" t="s">
        <v>116</v>
      </c>
      <c r="C83" t="s">
        <v>42</v>
      </c>
      <c r="D83" t="s">
        <v>18</v>
      </c>
      <c r="E83" t="s">
        <v>40</v>
      </c>
      <c r="F83" t="s">
        <v>20</v>
      </c>
      <c r="G83" s="1">
        <v>5.8</v>
      </c>
      <c r="H83" s="1">
        <v>15</v>
      </c>
      <c r="I83" s="1">
        <v>41.7</v>
      </c>
      <c r="J83" s="1">
        <v>55</v>
      </c>
      <c r="K83">
        <v>2019</v>
      </c>
      <c r="L83">
        <v>7</v>
      </c>
      <c r="M83">
        <v>24</v>
      </c>
      <c r="N83">
        <v>2019</v>
      </c>
      <c r="O83">
        <v>7</v>
      </c>
      <c r="P83">
        <v>25</v>
      </c>
    </row>
    <row r="84" spans="1:16">
      <c r="A84" t="s">
        <v>15</v>
      </c>
      <c r="B84" s="6" t="s">
        <v>175</v>
      </c>
      <c r="C84" t="s">
        <v>42</v>
      </c>
      <c r="D84" t="s">
        <v>18</v>
      </c>
      <c r="E84" t="s">
        <v>119</v>
      </c>
      <c r="F84" s="2" t="s">
        <v>176</v>
      </c>
      <c r="G84" s="1">
        <v>0</v>
      </c>
      <c r="H84" s="1">
        <v>9.6</v>
      </c>
      <c r="I84" s="1">
        <v>41.3</v>
      </c>
      <c r="J84" s="1">
        <v>51.1</v>
      </c>
      <c r="K84">
        <v>1990</v>
      </c>
      <c r="L84">
        <v>7</v>
      </c>
      <c r="M84">
        <v>24</v>
      </c>
      <c r="N84">
        <v>1990</v>
      </c>
      <c r="O84">
        <v>7</v>
      </c>
      <c r="P84">
        <v>24</v>
      </c>
    </row>
    <row r="85" spans="1:16">
      <c r="A85" t="s">
        <v>15</v>
      </c>
      <c r="B85" s="5" t="s">
        <v>118</v>
      </c>
      <c r="C85" t="s">
        <v>42</v>
      </c>
      <c r="D85" t="s">
        <v>18</v>
      </c>
      <c r="E85" t="s">
        <v>120</v>
      </c>
      <c r="F85" s="2" t="s">
        <v>176</v>
      </c>
      <c r="G85" s="1">
        <v>0</v>
      </c>
      <c r="H85" s="1">
        <v>9.6</v>
      </c>
      <c r="I85" s="1">
        <v>41.3</v>
      </c>
      <c r="J85" s="1">
        <v>51.1</v>
      </c>
      <c r="K85">
        <v>2003</v>
      </c>
      <c r="L85">
        <v>8</v>
      </c>
      <c r="M85">
        <v>1</v>
      </c>
      <c r="N85">
        <v>2003</v>
      </c>
      <c r="O85">
        <v>8</v>
      </c>
      <c r="P85">
        <v>20</v>
      </c>
    </row>
    <row r="86" spans="1:16">
      <c r="A86" t="s">
        <v>15</v>
      </c>
      <c r="B86" s="5" t="s">
        <v>118</v>
      </c>
      <c r="C86" t="s">
        <v>42</v>
      </c>
      <c r="D86" t="s">
        <v>18</v>
      </c>
      <c r="E86" t="s">
        <v>120</v>
      </c>
      <c r="F86" s="2" t="s">
        <v>176</v>
      </c>
      <c r="G86" s="1">
        <v>0</v>
      </c>
      <c r="H86" s="1">
        <v>9.6</v>
      </c>
      <c r="I86" s="1">
        <v>41.3</v>
      </c>
      <c r="J86" s="1">
        <v>51.1</v>
      </c>
      <c r="K86">
        <v>2006</v>
      </c>
      <c r="L86">
        <v>7</v>
      </c>
      <c r="M86">
        <v>15</v>
      </c>
      <c r="N86">
        <v>2006</v>
      </c>
      <c r="O86">
        <v>7</v>
      </c>
      <c r="P86">
        <v>23</v>
      </c>
    </row>
    <row r="87" spans="1:16">
      <c r="A87" t="s">
        <v>15</v>
      </c>
      <c r="B87" s="5" t="s">
        <v>118</v>
      </c>
      <c r="C87" t="s">
        <v>42</v>
      </c>
      <c r="D87" t="s">
        <v>18</v>
      </c>
      <c r="E87" t="s">
        <v>120</v>
      </c>
      <c r="F87" s="2" t="s">
        <v>176</v>
      </c>
      <c r="G87" s="1">
        <v>0</v>
      </c>
      <c r="H87" s="1">
        <v>9.6</v>
      </c>
      <c r="I87" s="1">
        <v>41.3</v>
      </c>
      <c r="J87" s="1">
        <v>51.1</v>
      </c>
      <c r="K87">
        <v>2015</v>
      </c>
      <c r="L87">
        <v>6</v>
      </c>
      <c r="M87">
        <v>29</v>
      </c>
      <c r="N87">
        <v>2015</v>
      </c>
      <c r="O87">
        <v>8</v>
      </c>
      <c r="P87">
        <v>9</v>
      </c>
    </row>
    <row r="88" spans="1:16">
      <c r="A88" t="s">
        <v>15</v>
      </c>
      <c r="B88" s="5" t="s">
        <v>118</v>
      </c>
      <c r="C88" t="s">
        <v>42</v>
      </c>
      <c r="D88" t="s">
        <v>18</v>
      </c>
      <c r="E88" t="s">
        <v>121</v>
      </c>
      <c r="F88" s="2" t="s">
        <v>176</v>
      </c>
      <c r="G88" s="1">
        <v>0</v>
      </c>
      <c r="H88" s="1">
        <v>9.6</v>
      </c>
      <c r="I88" s="1">
        <v>41.3</v>
      </c>
      <c r="J88" s="1">
        <v>51.1</v>
      </c>
      <c r="K88">
        <v>2019</v>
      </c>
      <c r="L88">
        <v>6</v>
      </c>
      <c r="M88">
        <v>24</v>
      </c>
      <c r="N88">
        <v>2019</v>
      </c>
      <c r="O88">
        <v>7</v>
      </c>
      <c r="P88">
        <v>7</v>
      </c>
    </row>
    <row r="89" spans="1:16">
      <c r="A89" t="s">
        <v>15</v>
      </c>
      <c r="B89" s="5" t="s">
        <v>118</v>
      </c>
      <c r="C89" t="s">
        <v>42</v>
      </c>
      <c r="D89" t="s">
        <v>18</v>
      </c>
      <c r="E89" t="s">
        <v>122</v>
      </c>
      <c r="F89" s="2" t="s">
        <v>176</v>
      </c>
      <c r="G89" s="1">
        <v>0</v>
      </c>
      <c r="H89" s="1">
        <v>9.6</v>
      </c>
      <c r="I89" s="1">
        <v>41.3</v>
      </c>
      <c r="J89" s="1">
        <v>51.1</v>
      </c>
      <c r="K89">
        <v>2019</v>
      </c>
      <c r="L89">
        <v>7</v>
      </c>
      <c r="M89">
        <v>21</v>
      </c>
      <c r="N89">
        <v>2019</v>
      </c>
      <c r="O89">
        <v>7</v>
      </c>
      <c r="P89">
        <v>27</v>
      </c>
    </row>
    <row r="90" spans="1:16">
      <c r="A90" t="s">
        <v>15</v>
      </c>
      <c r="B90" s="5" t="s">
        <v>118</v>
      </c>
      <c r="C90" t="s">
        <v>42</v>
      </c>
      <c r="D90" t="s">
        <v>18</v>
      </c>
      <c r="E90" t="s">
        <v>40</v>
      </c>
      <c r="F90" s="2" t="s">
        <v>176</v>
      </c>
      <c r="G90" s="1">
        <v>0</v>
      </c>
      <c r="H90" s="1">
        <v>9.6</v>
      </c>
      <c r="I90" s="1">
        <v>41.3</v>
      </c>
      <c r="J90" s="1">
        <v>51.1</v>
      </c>
      <c r="K90">
        <v>2020</v>
      </c>
      <c r="L90">
        <v>7</v>
      </c>
      <c r="M90">
        <v>30</v>
      </c>
      <c r="N90">
        <v>2020</v>
      </c>
      <c r="O90">
        <v>8</v>
      </c>
      <c r="P90">
        <v>16</v>
      </c>
    </row>
    <row r="91" spans="1:16">
      <c r="A91" t="s">
        <v>15</v>
      </c>
      <c r="B91" t="s">
        <v>123</v>
      </c>
      <c r="C91" t="s">
        <v>45</v>
      </c>
      <c r="D91" t="s">
        <v>46</v>
      </c>
      <c r="E91" t="s">
        <v>124</v>
      </c>
      <c r="F91" t="s">
        <v>20</v>
      </c>
      <c r="G91" s="1">
        <v>25</v>
      </c>
      <c r="H91" s="1">
        <v>34.9</v>
      </c>
      <c r="I91" s="1">
        <v>22</v>
      </c>
      <c r="J91" s="1">
        <v>31</v>
      </c>
      <c r="K91">
        <v>1995</v>
      </c>
      <c r="L91">
        <v>6</v>
      </c>
      <c r="M91">
        <v>12</v>
      </c>
      <c r="N91">
        <v>1995</v>
      </c>
      <c r="O91">
        <v>6</v>
      </c>
      <c r="P91">
        <v>12</v>
      </c>
    </row>
    <row r="92" spans="1:16">
      <c r="A92" t="s">
        <v>15</v>
      </c>
      <c r="B92" t="s">
        <v>123</v>
      </c>
      <c r="C92" t="s">
        <v>45</v>
      </c>
      <c r="D92" t="s">
        <v>46</v>
      </c>
      <c r="E92" t="s">
        <v>40</v>
      </c>
      <c r="F92" t="s">
        <v>20</v>
      </c>
      <c r="G92" s="1">
        <v>25</v>
      </c>
      <c r="H92" s="1">
        <v>34.9</v>
      </c>
      <c r="I92" s="1">
        <v>22</v>
      </c>
      <c r="J92" s="1">
        <v>31</v>
      </c>
      <c r="K92">
        <v>1996</v>
      </c>
      <c r="L92">
        <v>7</v>
      </c>
      <c r="M92">
        <v>7</v>
      </c>
      <c r="N92">
        <v>1996</v>
      </c>
      <c r="O92">
        <v>7</v>
      </c>
      <c r="P92">
        <v>7</v>
      </c>
    </row>
    <row r="93" spans="1:16">
      <c r="A93" t="s">
        <v>15</v>
      </c>
      <c r="B93" t="s">
        <v>123</v>
      </c>
      <c r="C93" t="s">
        <v>45</v>
      </c>
      <c r="D93" t="s">
        <v>46</v>
      </c>
      <c r="E93" t="s">
        <v>125</v>
      </c>
      <c r="F93" t="s">
        <v>20</v>
      </c>
      <c r="G93" s="1">
        <v>25</v>
      </c>
      <c r="H93" s="1">
        <v>34.9</v>
      </c>
      <c r="I93" s="1">
        <v>22</v>
      </c>
      <c r="J93" s="1">
        <v>31</v>
      </c>
      <c r="K93">
        <v>2015</v>
      </c>
      <c r="L93">
        <v>8</v>
      </c>
      <c r="M93">
        <v>9</v>
      </c>
      <c r="N93">
        <v>2015</v>
      </c>
      <c r="O93">
        <v>8</v>
      </c>
      <c r="P93">
        <v>9</v>
      </c>
    </row>
    <row r="94" spans="1:16">
      <c r="A94" t="s">
        <v>15</v>
      </c>
      <c r="B94" t="s">
        <v>126</v>
      </c>
      <c r="C94" t="s">
        <v>69</v>
      </c>
      <c r="D94" t="s">
        <v>64</v>
      </c>
      <c r="E94" t="s">
        <v>127</v>
      </c>
      <c r="F94" t="s">
        <v>20</v>
      </c>
      <c r="G94" s="1">
        <v>124.3</v>
      </c>
      <c r="H94" s="1">
        <v>130.69999999999999</v>
      </c>
      <c r="I94" s="1">
        <v>37.700000000000003</v>
      </c>
      <c r="J94" s="1">
        <v>43</v>
      </c>
      <c r="K94">
        <v>2018</v>
      </c>
      <c r="L94">
        <v>7</v>
      </c>
      <c r="M94">
        <v>11</v>
      </c>
      <c r="N94">
        <v>2018</v>
      </c>
      <c r="O94">
        <v>8</v>
      </c>
      <c r="P94">
        <v>3</v>
      </c>
    </row>
    <row r="95" spans="1:16">
      <c r="A95" t="s">
        <v>15</v>
      </c>
      <c r="B95" t="s">
        <v>128</v>
      </c>
      <c r="C95" t="s">
        <v>58</v>
      </c>
      <c r="D95" t="s">
        <v>18</v>
      </c>
      <c r="E95" t="s">
        <v>129</v>
      </c>
      <c r="F95" t="s">
        <v>20</v>
      </c>
      <c r="G95" s="1">
        <v>12.1</v>
      </c>
      <c r="H95" s="1">
        <v>18.899999999999999</v>
      </c>
      <c r="I95" s="1">
        <v>48.5</v>
      </c>
      <c r="J95" s="1">
        <v>51.1</v>
      </c>
      <c r="K95">
        <v>2003</v>
      </c>
      <c r="L95">
        <v>7</v>
      </c>
      <c r="M95">
        <v>19</v>
      </c>
      <c r="N95">
        <v>2003</v>
      </c>
      <c r="O95">
        <v>7</v>
      </c>
      <c r="P95">
        <v>22</v>
      </c>
    </row>
    <row r="96" spans="1:16">
      <c r="A96" t="s">
        <v>15</v>
      </c>
      <c r="B96" t="s">
        <v>130</v>
      </c>
      <c r="C96" t="s">
        <v>63</v>
      </c>
      <c r="D96" t="s">
        <v>64</v>
      </c>
      <c r="E96" t="s">
        <v>40</v>
      </c>
      <c r="F96" t="s">
        <v>20</v>
      </c>
      <c r="G96" s="1">
        <v>32.200000000000003</v>
      </c>
      <c r="H96" s="1">
        <v>34.6</v>
      </c>
      <c r="I96" s="1">
        <v>34.5</v>
      </c>
      <c r="J96" s="1">
        <v>35.6</v>
      </c>
      <c r="K96">
        <v>1998</v>
      </c>
      <c r="L96">
        <v>8</v>
      </c>
      <c r="M96">
        <v>10</v>
      </c>
      <c r="N96">
        <v>1998</v>
      </c>
      <c r="O96">
        <v>8</v>
      </c>
      <c r="P96">
        <v>10</v>
      </c>
    </row>
    <row r="97" spans="1:16">
      <c r="A97" t="s">
        <v>15</v>
      </c>
      <c r="B97" t="s">
        <v>130</v>
      </c>
      <c r="C97" t="s">
        <v>63</v>
      </c>
      <c r="D97" t="s">
        <v>64</v>
      </c>
      <c r="E97" t="s">
        <v>40</v>
      </c>
      <c r="F97" t="s">
        <v>20</v>
      </c>
      <c r="G97" s="1">
        <v>32.200000000000003</v>
      </c>
      <c r="H97" s="1">
        <v>34.6</v>
      </c>
      <c r="I97" s="1">
        <v>34.5</v>
      </c>
      <c r="J97" s="1">
        <v>35.6</v>
      </c>
      <c r="K97">
        <v>2022</v>
      </c>
      <c r="L97">
        <v>5</v>
      </c>
      <c r="M97">
        <v>30</v>
      </c>
      <c r="N97">
        <v>2022</v>
      </c>
      <c r="O97">
        <v>9</v>
      </c>
      <c r="P97">
        <v>30</v>
      </c>
    </row>
    <row r="98" spans="1:16">
      <c r="A98" t="s">
        <v>15</v>
      </c>
      <c r="B98" t="s">
        <v>131</v>
      </c>
      <c r="C98" t="s">
        <v>69</v>
      </c>
      <c r="D98" t="s">
        <v>64</v>
      </c>
      <c r="E98" t="s">
        <v>132</v>
      </c>
      <c r="F98" t="s">
        <v>20</v>
      </c>
      <c r="G98" s="1">
        <v>73.5</v>
      </c>
      <c r="H98" s="1">
        <v>135</v>
      </c>
      <c r="I98" s="1">
        <v>18.100000000000001</v>
      </c>
      <c r="J98" s="1">
        <v>53.6</v>
      </c>
      <c r="K98">
        <v>1997</v>
      </c>
      <c r="L98">
        <v>7</v>
      </c>
      <c r="M98">
        <v>9</v>
      </c>
      <c r="N98">
        <v>1997</v>
      </c>
      <c r="O98">
        <v>7</v>
      </c>
      <c r="P98">
        <v>9</v>
      </c>
    </row>
    <row r="99" spans="1:16">
      <c r="A99" t="s">
        <v>15</v>
      </c>
      <c r="B99" t="s">
        <v>131</v>
      </c>
      <c r="C99" t="s">
        <v>69</v>
      </c>
      <c r="D99" t="s">
        <v>64</v>
      </c>
      <c r="E99" t="s">
        <v>133</v>
      </c>
      <c r="F99" t="s">
        <v>20</v>
      </c>
      <c r="G99" s="1">
        <v>73.5</v>
      </c>
      <c r="H99" s="1">
        <v>135</v>
      </c>
      <c r="I99" s="1">
        <v>18.100000000000001</v>
      </c>
      <c r="J99" s="1">
        <v>53.6</v>
      </c>
      <c r="K99">
        <v>2004</v>
      </c>
      <c r="L99">
        <v>7</v>
      </c>
      <c r="M99">
        <v>2</v>
      </c>
      <c r="N99">
        <v>2004</v>
      </c>
      <c r="O99">
        <v>7</v>
      </c>
      <c r="P99">
        <v>3</v>
      </c>
    </row>
    <row r="100" spans="1:16">
      <c r="A100" t="s">
        <v>15</v>
      </c>
      <c r="B100" t="s">
        <v>131</v>
      </c>
      <c r="C100" t="s">
        <v>69</v>
      </c>
      <c r="D100" t="s">
        <v>64</v>
      </c>
      <c r="E100" t="s">
        <v>134</v>
      </c>
      <c r="F100" t="s">
        <v>20</v>
      </c>
      <c r="G100" s="1">
        <v>73.5</v>
      </c>
      <c r="H100" s="1">
        <v>135</v>
      </c>
      <c r="I100" s="1">
        <v>18.100000000000001</v>
      </c>
      <c r="J100" s="1">
        <v>53.6</v>
      </c>
      <c r="K100">
        <v>2013</v>
      </c>
      <c r="L100">
        <v>7</v>
      </c>
      <c r="M100">
        <v>1</v>
      </c>
      <c r="N100">
        <v>2013</v>
      </c>
      <c r="O100">
        <v>8</v>
      </c>
      <c r="P100">
        <v>15</v>
      </c>
    </row>
    <row r="101" spans="1:16">
      <c r="A101" t="s">
        <v>15</v>
      </c>
      <c r="B101" t="s">
        <v>135</v>
      </c>
      <c r="C101" t="s">
        <v>45</v>
      </c>
      <c r="D101" t="s">
        <v>46</v>
      </c>
      <c r="E101" t="s">
        <v>136</v>
      </c>
      <c r="F101" t="s">
        <v>25</v>
      </c>
      <c r="G101" s="1">
        <f>360-18.2</f>
        <v>341.8</v>
      </c>
      <c r="H101" s="1">
        <f>360-13.4</f>
        <v>346.6</v>
      </c>
      <c r="I101" s="1">
        <v>27.6</v>
      </c>
      <c r="J101" s="1">
        <v>29.5</v>
      </c>
      <c r="K101">
        <v>2004</v>
      </c>
      <c r="L101">
        <v>7</v>
      </c>
      <c r="M101">
        <v>26</v>
      </c>
      <c r="N101">
        <v>2004</v>
      </c>
      <c r="O101">
        <v>7</v>
      </c>
      <c r="P101">
        <v>30</v>
      </c>
    </row>
    <row r="102" spans="1:16">
      <c r="A102" t="s">
        <v>15</v>
      </c>
      <c r="B102" t="s">
        <v>137</v>
      </c>
      <c r="C102" t="s">
        <v>22</v>
      </c>
      <c r="D102" t="s">
        <v>23</v>
      </c>
      <c r="E102" t="s">
        <v>138</v>
      </c>
      <c r="F102" t="s">
        <v>25</v>
      </c>
      <c r="G102" s="1">
        <f>360-141</f>
        <v>219</v>
      </c>
      <c r="H102" s="1">
        <f>360-52.6</f>
        <v>307.39999999999998</v>
      </c>
      <c r="I102" s="1">
        <v>41.7</v>
      </c>
      <c r="J102" s="1">
        <v>83.1</v>
      </c>
      <c r="K102">
        <v>2018</v>
      </c>
      <c r="L102">
        <v>6</v>
      </c>
      <c r="M102">
        <v>29</v>
      </c>
      <c r="N102">
        <v>2018</v>
      </c>
      <c r="O102">
        <v>7</v>
      </c>
      <c r="P102">
        <v>5</v>
      </c>
    </row>
    <row r="103" spans="1:16">
      <c r="A103" t="s">
        <v>15</v>
      </c>
      <c r="B103" t="s">
        <v>137</v>
      </c>
      <c r="C103" t="s">
        <v>22</v>
      </c>
      <c r="D103" t="s">
        <v>23</v>
      </c>
      <c r="E103" t="s">
        <v>139</v>
      </c>
      <c r="F103" t="s">
        <v>25</v>
      </c>
      <c r="G103" s="1">
        <f>360-141</f>
        <v>219</v>
      </c>
      <c r="H103" s="1">
        <f>360-52.6</f>
        <v>307.39999999999998</v>
      </c>
      <c r="I103" s="1">
        <v>41.7</v>
      </c>
      <c r="J103" s="1">
        <v>83.1</v>
      </c>
      <c r="K103">
        <v>2021</v>
      </c>
      <c r="L103">
        <v>6</v>
      </c>
      <c r="M103">
        <v>26</v>
      </c>
      <c r="N103">
        <v>2021</v>
      </c>
      <c r="O103">
        <v>7</v>
      </c>
      <c r="P103">
        <v>20</v>
      </c>
    </row>
    <row r="104" spans="1:16">
      <c r="A104" t="s">
        <v>15</v>
      </c>
      <c r="B104" t="s">
        <v>140</v>
      </c>
      <c r="C104" t="s">
        <v>17</v>
      </c>
      <c r="D104" t="s">
        <v>18</v>
      </c>
      <c r="E104" t="s">
        <v>141</v>
      </c>
      <c r="F104" t="s">
        <v>20</v>
      </c>
      <c r="G104" s="1">
        <v>15.8</v>
      </c>
      <c r="H104" s="1">
        <v>19.600000000000001</v>
      </c>
      <c r="I104" s="1">
        <v>42.5</v>
      </c>
      <c r="J104" s="1">
        <v>45.3</v>
      </c>
      <c r="K104">
        <v>2007</v>
      </c>
      <c r="L104">
        <v>7</v>
      </c>
      <c r="M104">
        <v>15</v>
      </c>
      <c r="N104">
        <v>2007</v>
      </c>
      <c r="O104">
        <v>7</v>
      </c>
      <c r="P104">
        <v>22</v>
      </c>
    </row>
    <row r="105" spans="1:16">
      <c r="A105" t="s">
        <v>15</v>
      </c>
      <c r="B105" t="s">
        <v>142</v>
      </c>
      <c r="C105" t="s">
        <v>42</v>
      </c>
      <c r="D105" t="s">
        <v>18</v>
      </c>
      <c r="E105" t="s">
        <v>143</v>
      </c>
      <c r="F105" t="s">
        <v>20</v>
      </c>
      <c r="G105" s="1">
        <v>2.5</v>
      </c>
      <c r="H105" s="1">
        <v>6.5</v>
      </c>
      <c r="I105" s="1">
        <v>49.5</v>
      </c>
      <c r="J105" s="1">
        <v>51.5</v>
      </c>
      <c r="K105">
        <v>2003</v>
      </c>
      <c r="L105">
        <v>8</v>
      </c>
      <c r="M105">
        <v>1</v>
      </c>
      <c r="N105">
        <v>2003</v>
      </c>
      <c r="O105">
        <v>8</v>
      </c>
      <c r="P105">
        <v>15</v>
      </c>
    </row>
    <row r="106" spans="1:16">
      <c r="A106" t="s">
        <v>15</v>
      </c>
      <c r="B106" t="s">
        <v>142</v>
      </c>
      <c r="C106" t="s">
        <v>42</v>
      </c>
      <c r="D106" t="s">
        <v>18</v>
      </c>
      <c r="E106" t="s">
        <v>144</v>
      </c>
      <c r="F106" t="s">
        <v>20</v>
      </c>
      <c r="G106" s="1">
        <v>2.5</v>
      </c>
      <c r="H106" s="1">
        <v>6.5</v>
      </c>
      <c r="I106" s="1">
        <v>49.5</v>
      </c>
      <c r="J106" s="1">
        <v>51.5</v>
      </c>
      <c r="K106">
        <v>2015</v>
      </c>
      <c r="L106">
        <v>6</v>
      </c>
      <c r="M106">
        <v>30</v>
      </c>
      <c r="N106">
        <v>2015</v>
      </c>
      <c r="O106">
        <v>7</v>
      </c>
      <c r="P106">
        <v>5</v>
      </c>
    </row>
    <row r="107" spans="1:16">
      <c r="A107" t="s">
        <v>15</v>
      </c>
      <c r="B107" t="s">
        <v>142</v>
      </c>
      <c r="C107" t="s">
        <v>42</v>
      </c>
      <c r="D107" t="s">
        <v>18</v>
      </c>
      <c r="E107" t="s">
        <v>40</v>
      </c>
      <c r="F107" t="s">
        <v>20</v>
      </c>
      <c r="G107" s="1">
        <v>2.5</v>
      </c>
      <c r="H107" s="1">
        <v>6.5</v>
      </c>
      <c r="I107" s="1">
        <v>49.5</v>
      </c>
      <c r="J107" s="1">
        <v>51.5</v>
      </c>
      <c r="K107">
        <v>2019</v>
      </c>
      <c r="L107">
        <v>6</v>
      </c>
      <c r="M107">
        <v>21</v>
      </c>
      <c r="N107">
        <v>2020</v>
      </c>
      <c r="O107">
        <v>7</v>
      </c>
      <c r="P107">
        <v>1</v>
      </c>
    </row>
    <row r="108" spans="1:16">
      <c r="A108" t="s">
        <v>15</v>
      </c>
      <c r="B108" t="s">
        <v>142</v>
      </c>
      <c r="C108" t="s">
        <v>42</v>
      </c>
      <c r="D108" t="s">
        <v>18</v>
      </c>
      <c r="E108" t="s">
        <v>40</v>
      </c>
      <c r="F108" t="s">
        <v>20</v>
      </c>
      <c r="G108" s="1">
        <v>2.5</v>
      </c>
      <c r="H108" s="1">
        <v>6.5</v>
      </c>
      <c r="I108" s="1">
        <v>49.5</v>
      </c>
      <c r="J108" s="1">
        <v>51.5</v>
      </c>
      <c r="K108">
        <v>2019</v>
      </c>
      <c r="L108">
        <v>7</v>
      </c>
      <c r="M108">
        <v>19</v>
      </c>
      <c r="N108">
        <v>2019</v>
      </c>
      <c r="O108">
        <v>7</v>
      </c>
      <c r="P108">
        <v>27</v>
      </c>
    </row>
    <row r="109" spans="1:16">
      <c r="A109" t="s">
        <v>15</v>
      </c>
      <c r="B109" t="s">
        <v>142</v>
      </c>
      <c r="C109" t="s">
        <v>42</v>
      </c>
      <c r="D109" t="s">
        <v>18</v>
      </c>
      <c r="E109" t="s">
        <v>40</v>
      </c>
      <c r="F109" t="s">
        <v>20</v>
      </c>
      <c r="G109" s="1">
        <v>2.5</v>
      </c>
      <c r="H109" s="1">
        <v>6.5</v>
      </c>
      <c r="I109" s="1">
        <v>49.5</v>
      </c>
      <c r="J109" s="1">
        <v>51.5</v>
      </c>
      <c r="K109">
        <v>2019</v>
      </c>
      <c r="L109">
        <v>8</v>
      </c>
      <c r="M109">
        <v>23</v>
      </c>
      <c r="N109">
        <v>2019</v>
      </c>
      <c r="O109">
        <v>8</v>
      </c>
      <c r="P109">
        <v>29</v>
      </c>
    </row>
    <row r="110" spans="1:16">
      <c r="A110" t="s">
        <v>15</v>
      </c>
      <c r="B110" t="s">
        <v>142</v>
      </c>
      <c r="C110" t="s">
        <v>42</v>
      </c>
      <c r="D110" t="s">
        <v>18</v>
      </c>
      <c r="E110" t="s">
        <v>40</v>
      </c>
      <c r="F110" t="s">
        <v>20</v>
      </c>
      <c r="G110" s="1">
        <v>2.5</v>
      </c>
      <c r="H110" s="1">
        <v>6.5</v>
      </c>
      <c r="I110" s="1">
        <v>49.5</v>
      </c>
      <c r="J110" s="1">
        <v>51.5</v>
      </c>
      <c r="K110">
        <v>2020</v>
      </c>
      <c r="L110">
        <v>8</v>
      </c>
      <c r="M110">
        <v>5</v>
      </c>
      <c r="N110">
        <v>2020</v>
      </c>
      <c r="O110">
        <v>8</v>
      </c>
      <c r="P110">
        <v>8</v>
      </c>
    </row>
    <row r="111" spans="1:16">
      <c r="A111" t="s">
        <v>15</v>
      </c>
      <c r="B111" t="s">
        <v>145</v>
      </c>
      <c r="C111" t="s">
        <v>73</v>
      </c>
      <c r="D111" t="s">
        <v>64</v>
      </c>
      <c r="E111" t="s">
        <v>146</v>
      </c>
      <c r="F111" t="s">
        <v>20</v>
      </c>
      <c r="G111" s="1">
        <v>88</v>
      </c>
      <c r="H111" s="1">
        <v>92</v>
      </c>
      <c r="I111" s="1">
        <v>20.6</v>
      </c>
      <c r="J111" s="1">
        <v>26.6</v>
      </c>
      <c r="K111">
        <v>2003</v>
      </c>
      <c r="L111">
        <v>5</v>
      </c>
      <c r="M111">
        <v>10</v>
      </c>
      <c r="N111">
        <v>2003</v>
      </c>
      <c r="O111">
        <v>6</v>
      </c>
      <c r="P111">
        <v>12</v>
      </c>
    </row>
    <row r="112" spans="1:16">
      <c r="A112" t="s">
        <v>15</v>
      </c>
      <c r="B112" t="s">
        <v>145</v>
      </c>
      <c r="C112" t="s">
        <v>73</v>
      </c>
      <c r="D112" t="s">
        <v>64</v>
      </c>
      <c r="E112" t="s">
        <v>147</v>
      </c>
      <c r="F112" t="s">
        <v>20</v>
      </c>
      <c r="G112" s="1">
        <v>88</v>
      </c>
      <c r="H112" s="1">
        <v>92</v>
      </c>
      <c r="I112" s="1">
        <v>20.6</v>
      </c>
      <c r="J112" s="1">
        <v>26.6</v>
      </c>
      <c r="K112">
        <v>2024</v>
      </c>
      <c r="L112">
        <v>4</v>
      </c>
      <c r="M112">
        <v>21</v>
      </c>
      <c r="N112">
        <v>2024</v>
      </c>
      <c r="O112">
        <v>5</v>
      </c>
      <c r="P112">
        <v>7</v>
      </c>
    </row>
    <row r="113" spans="1:16">
      <c r="A113" t="s">
        <v>15</v>
      </c>
      <c r="B113" t="s">
        <v>148</v>
      </c>
      <c r="C113" t="s">
        <v>42</v>
      </c>
      <c r="D113" t="s">
        <v>18</v>
      </c>
      <c r="E113" t="s">
        <v>40</v>
      </c>
      <c r="F113" t="s">
        <v>20</v>
      </c>
      <c r="G113" s="1">
        <v>9.5</v>
      </c>
      <c r="H113" s="1">
        <v>17.2</v>
      </c>
      <c r="I113" s="1">
        <v>47</v>
      </c>
      <c r="J113" s="1">
        <v>49</v>
      </c>
      <c r="K113">
        <v>2019</v>
      </c>
      <c r="L113">
        <v>7</v>
      </c>
      <c r="M113">
        <v>24</v>
      </c>
      <c r="N113">
        <v>2019</v>
      </c>
      <c r="O113">
        <v>7</v>
      </c>
      <c r="P113">
        <v>26</v>
      </c>
    </row>
    <row r="114" spans="1:16">
      <c r="A114" t="s">
        <v>15</v>
      </c>
      <c r="B114" t="s">
        <v>149</v>
      </c>
      <c r="C114" t="s">
        <v>150</v>
      </c>
      <c r="D114" t="s">
        <v>151</v>
      </c>
      <c r="E114" t="s">
        <v>152</v>
      </c>
      <c r="F114" t="s">
        <v>20</v>
      </c>
      <c r="G114" s="1">
        <v>113.3</v>
      </c>
      <c r="H114" s="1">
        <v>153.6</v>
      </c>
      <c r="I114" s="1">
        <v>-43.7</v>
      </c>
      <c r="J114" s="1">
        <v>-10</v>
      </c>
      <c r="K114">
        <v>2009</v>
      </c>
      <c r="L114">
        <v>1</v>
      </c>
      <c r="M114">
        <v>27</v>
      </c>
      <c r="N114">
        <v>2009</v>
      </c>
      <c r="O114">
        <v>2</v>
      </c>
      <c r="P114">
        <v>8</v>
      </c>
    </row>
    <row r="115" spans="1:16">
      <c r="A115" t="s">
        <v>15</v>
      </c>
      <c r="B115" t="s">
        <v>149</v>
      </c>
      <c r="C115" t="s">
        <v>150</v>
      </c>
      <c r="D115" t="s">
        <v>151</v>
      </c>
      <c r="E115" t="s">
        <v>153</v>
      </c>
      <c r="F115" t="s">
        <v>20</v>
      </c>
      <c r="G115" s="1">
        <v>113.3</v>
      </c>
      <c r="H115" s="1">
        <v>153.6</v>
      </c>
      <c r="I115" s="1">
        <v>-43.7</v>
      </c>
      <c r="J115" s="1">
        <v>-10</v>
      </c>
      <c r="K115">
        <v>2014</v>
      </c>
      <c r="L115">
        <v>1</v>
      </c>
      <c r="M115">
        <v>13</v>
      </c>
      <c r="N115">
        <v>2014</v>
      </c>
      <c r="O115">
        <v>1</v>
      </c>
      <c r="P115">
        <v>18</v>
      </c>
    </row>
    <row r="116" spans="1:16">
      <c r="A116" t="s">
        <v>15</v>
      </c>
      <c r="B116" t="s">
        <v>154</v>
      </c>
      <c r="C116" t="s">
        <v>83</v>
      </c>
      <c r="D116" t="s">
        <v>23</v>
      </c>
      <c r="E116" t="s">
        <v>155</v>
      </c>
      <c r="F116" t="s">
        <v>25</v>
      </c>
      <c r="G116" s="1">
        <f>360-73.6</f>
        <v>286.39999999999998</v>
      </c>
      <c r="H116" s="1">
        <f>360-53.6</f>
        <v>306.39999999999998</v>
      </c>
      <c r="I116" s="1">
        <v>-55</v>
      </c>
      <c r="J116" s="1">
        <v>-22</v>
      </c>
      <c r="K116">
        <v>1972</v>
      </c>
      <c r="L116">
        <v>1</v>
      </c>
      <c r="M116">
        <v>4</v>
      </c>
      <c r="N116">
        <v>1972</v>
      </c>
      <c r="O116">
        <v>1</v>
      </c>
      <c r="P116">
        <v>4</v>
      </c>
    </row>
    <row r="117" spans="1:16">
      <c r="A117" t="s">
        <v>15</v>
      </c>
      <c r="B117" t="s">
        <v>156</v>
      </c>
      <c r="C117" t="s">
        <v>45</v>
      </c>
      <c r="D117" t="s">
        <v>46</v>
      </c>
      <c r="E117" t="s">
        <v>157</v>
      </c>
      <c r="F117" t="s">
        <v>20</v>
      </c>
      <c r="G117" s="1">
        <v>8</v>
      </c>
      <c r="H117" s="1">
        <v>12</v>
      </c>
      <c r="I117" s="1">
        <v>19</v>
      </c>
      <c r="J117" s="1">
        <v>37</v>
      </c>
      <c r="K117">
        <v>2003</v>
      </c>
      <c r="L117">
        <v>6</v>
      </c>
      <c r="M117">
        <v>21</v>
      </c>
      <c r="N117">
        <v>2003</v>
      </c>
      <c r="O117">
        <v>7</v>
      </c>
      <c r="P117">
        <v>21</v>
      </c>
    </row>
    <row r="118" spans="1:16">
      <c r="A118" t="s">
        <v>15</v>
      </c>
      <c r="B118" t="s">
        <v>158</v>
      </c>
      <c r="C118" t="s">
        <v>17</v>
      </c>
      <c r="D118" t="s">
        <v>18</v>
      </c>
      <c r="E118" t="s">
        <v>159</v>
      </c>
      <c r="F118" t="s">
        <v>20</v>
      </c>
      <c r="G118" s="1">
        <v>19.3</v>
      </c>
      <c r="H118" s="1">
        <v>21.1</v>
      </c>
      <c r="I118" s="1">
        <v>39.6</v>
      </c>
      <c r="J118" s="1">
        <v>42.7</v>
      </c>
      <c r="K118">
        <v>2007</v>
      </c>
      <c r="L118">
        <v>7</v>
      </c>
      <c r="M118">
        <v>15</v>
      </c>
      <c r="N118">
        <v>2007</v>
      </c>
      <c r="O118">
        <v>7</v>
      </c>
      <c r="P118">
        <v>22</v>
      </c>
    </row>
  </sheetData>
  <autoFilter ref="A1:P118" xr:uid="{00000000-0009-0000-0000-000000000000}"/>
  <sortState xmlns:xlrd2="http://schemas.microsoft.com/office/spreadsheetml/2017/richdata2" ref="A2:P118">
    <sortCondition ref="A2:A118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11" defaultRowHeight="15"/>
  <sheetData>
    <row r="1" spans="1:2">
      <c r="A1" t="s">
        <v>160</v>
      </c>
      <c r="B1" t="s">
        <v>161</v>
      </c>
    </row>
    <row r="2" spans="1:2">
      <c r="B2" t="s">
        <v>162</v>
      </c>
    </row>
    <row r="3" spans="1:2">
      <c r="A3" t="s">
        <v>163</v>
      </c>
      <c r="B3" t="s">
        <v>164</v>
      </c>
    </row>
    <row r="4" spans="1:2">
      <c r="A4" t="s">
        <v>165</v>
      </c>
      <c r="B4" t="s">
        <v>166</v>
      </c>
    </row>
    <row r="5" spans="1:2">
      <c r="A5" t="s">
        <v>167</v>
      </c>
      <c r="B5" t="s">
        <v>168</v>
      </c>
    </row>
    <row r="6" spans="1:2">
      <c r="A6" t="s">
        <v>169</v>
      </c>
      <c r="B6" t="s">
        <v>170</v>
      </c>
    </row>
    <row r="7" spans="1:2">
      <c r="A7" t="s">
        <v>171</v>
      </c>
      <c r="B7" t="s">
        <v>172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EM-DAT Data</vt:lpstr>
      <vt:lpstr>EM-DAT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2006-09-16T00:00:00Z</dcterms:created>
  <dcterms:modified xsi:type="dcterms:W3CDTF">2025-01-26T13:23:09Z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78E0D6A8711143C6960F93164D568603_13</vt:lpwstr>
  </property>
</Properties>
</file>